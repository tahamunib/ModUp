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pro\Documents\"/>
    </mc:Choice>
  </mc:AlternateContent>
  <bookViews>
    <workbookView xWindow="0" yWindow="0" windowWidth="20490" windowHeight="7905" tabRatio="723" firstSheet="1" activeTab="6"/>
  </bookViews>
  <sheets>
    <sheet name="Center swags " sheetId="1" r:id="rId1"/>
    <sheet name="Over-under swags" sheetId="3" r:id="rId2"/>
    <sheet name="Over -under swag specs chart" sheetId="4" r:id="rId3"/>
    <sheet name="Sheet1" sheetId="6" r:id="rId4"/>
    <sheet name="Center swg specs chart" sheetId="2" r:id="rId5"/>
    <sheet name="Fabrics-Trims chart" sheetId="5" r:id="rId6"/>
    <sheet name="Small" sheetId="7" r:id="rId7"/>
  </sheets>
  <externalReferences>
    <externalReference r:id="rId8"/>
  </externalReferences>
  <calcPr calcId="152511" concurrentCalc="0"/>
  <fileRecoveryPr repairLoad="1"/>
</workbook>
</file>

<file path=xl/calcChain.xml><?xml version="1.0" encoding="utf-8"?>
<calcChain xmlns="http://schemas.openxmlformats.org/spreadsheetml/2006/main">
  <c r="AP14" i="7" l="1"/>
  <c r="AH14" i="7"/>
  <c r="AQ13" i="7"/>
  <c r="AP13" i="7"/>
  <c r="AM13" i="7"/>
  <c r="AH13" i="7"/>
  <c r="AS12" i="7"/>
  <c r="AR12" i="7"/>
  <c r="AQ12" i="7"/>
  <c r="AP12" i="7"/>
  <c r="AO12" i="7"/>
  <c r="AN12" i="7"/>
  <c r="AM12" i="7"/>
  <c r="AH12" i="7"/>
  <c r="AS11" i="7"/>
  <c r="AR11" i="7"/>
  <c r="AQ11" i="7"/>
  <c r="AP11" i="7"/>
  <c r="AO11" i="7"/>
  <c r="AN11" i="7"/>
  <c r="AM11" i="7"/>
  <c r="AH11" i="7"/>
  <c r="AS10" i="7"/>
  <c r="AR10" i="7"/>
  <c r="AQ10" i="7"/>
  <c r="AP10" i="7"/>
  <c r="AO10" i="7"/>
  <c r="AN10" i="7"/>
  <c r="AM10" i="7"/>
  <c r="AH10" i="7"/>
  <c r="AQ9" i="7"/>
  <c r="AP9" i="7"/>
  <c r="AO9" i="7"/>
  <c r="AM9" i="7"/>
  <c r="AH9" i="7"/>
  <c r="AH8" i="7"/>
  <c r="AP7" i="7"/>
  <c r="AO7" i="7"/>
  <c r="AH7" i="7"/>
  <c r="AP6" i="7"/>
  <c r="AO6" i="7"/>
  <c r="AH6" i="7"/>
  <c r="AP5" i="7"/>
  <c r="AO5" i="7"/>
  <c r="AH5" i="7"/>
  <c r="AO4" i="7"/>
  <c r="AM4" i="7"/>
  <c r="AH4" i="7"/>
  <c r="BV15" i="3"/>
  <c r="BS15" i="3"/>
  <c r="BP15" i="3"/>
  <c r="AO15" i="3"/>
  <c r="AI15" i="3"/>
  <c r="BV14" i="3"/>
  <c r="BS14" i="3"/>
  <c r="BP14" i="3"/>
  <c r="AO14" i="3"/>
  <c r="AI14" i="3"/>
  <c r="BV13" i="3"/>
  <c r="BS13" i="3"/>
  <c r="BP13" i="3"/>
  <c r="AO13" i="3"/>
  <c r="AI13" i="3"/>
  <c r="BS12" i="3"/>
  <c r="BP12" i="3"/>
  <c r="AO12" i="3"/>
  <c r="AI12" i="3"/>
  <c r="BS11" i="3"/>
  <c r="AI11" i="3"/>
  <c r="AI10" i="3"/>
  <c r="BS26" i="3"/>
  <c r="BP26" i="3"/>
  <c r="BQ24" i="3"/>
  <c r="AP23" i="3"/>
  <c r="AO26" i="3"/>
  <c r="AI17" i="3"/>
  <c r="BP13" i="1"/>
  <c r="BP22" i="1"/>
  <c r="CB22" i="1"/>
  <c r="BY22" i="1"/>
  <c r="BV22" i="1"/>
  <c r="BS22" i="1"/>
  <c r="BM13" i="1"/>
  <c r="BM22" i="1"/>
  <c r="BM21" i="1"/>
  <c r="BJ13" i="1"/>
  <c r="BJ22" i="1"/>
  <c r="BJ21" i="1"/>
  <c r="BG13" i="1"/>
  <c r="BG22" i="1"/>
  <c r="BD13" i="1"/>
  <c r="BD22" i="1"/>
  <c r="BD21" i="1"/>
  <c r="AX13" i="1"/>
  <c r="AX22" i="1"/>
  <c r="BA13" i="1"/>
  <c r="BA22" i="1"/>
  <c r="BA21" i="1"/>
  <c r="AU13" i="1"/>
  <c r="AU22" i="1"/>
  <c r="AU21" i="1"/>
  <c r="AR13" i="1"/>
  <c r="AR22" i="1"/>
  <c r="AR21" i="1"/>
  <c r="AO13" i="1"/>
  <c r="AO22" i="1"/>
  <c r="BQ15" i="3"/>
  <c r="BN15" i="3"/>
  <c r="BN24" i="3"/>
  <c r="BN23" i="3"/>
  <c r="BH15" i="3"/>
  <c r="BH24" i="3"/>
  <c r="BK15" i="3"/>
  <c r="BK24" i="3"/>
  <c r="BK23" i="3"/>
  <c r="BE15" i="3"/>
  <c r="BE24" i="3"/>
  <c r="BE23" i="3"/>
  <c r="BB15" i="3"/>
  <c r="BB23" i="3"/>
  <c r="BB24" i="3"/>
  <c r="AY15" i="3"/>
  <c r="AY24" i="3"/>
  <c r="AV15" i="3"/>
  <c r="AV24" i="3"/>
  <c r="AV23" i="3"/>
  <c r="AS15" i="3"/>
  <c r="AS24" i="3"/>
  <c r="AS23" i="3"/>
  <c r="AP15" i="3"/>
  <c r="BG30" i="2"/>
  <c r="BG31" i="2"/>
  <c r="BG32" i="2"/>
  <c r="BG33" i="2"/>
  <c r="BG34" i="2"/>
  <c r="BG35" i="2"/>
  <c r="BG36" i="2"/>
  <c r="BG37" i="2"/>
  <c r="BG38" i="2"/>
  <c r="BG12" i="2"/>
  <c r="BG13" i="2"/>
  <c r="BG14" i="2"/>
  <c r="BG15" i="2"/>
  <c r="BG16" i="2"/>
  <c r="BG17" i="2"/>
  <c r="BG18" i="2"/>
  <c r="BG19" i="2"/>
  <c r="AI33" i="2"/>
  <c r="AI34" i="2"/>
  <c r="AI35" i="2"/>
  <c r="AI36" i="2"/>
  <c r="AI37" i="2"/>
  <c r="AI38" i="2"/>
  <c r="AI39" i="2"/>
  <c r="AI40" i="2"/>
  <c r="AI41" i="2"/>
  <c r="AI32" i="2"/>
  <c r="AI17" i="2"/>
  <c r="BA35" i="4"/>
  <c r="BA34" i="4"/>
  <c r="BA33" i="4"/>
  <c r="BA32" i="4"/>
  <c r="BA31" i="4"/>
  <c r="BA30" i="4"/>
  <c r="BA29" i="4"/>
  <c r="BA28" i="4"/>
  <c r="BA27" i="4"/>
  <c r="BA26" i="4"/>
  <c r="BA25" i="4"/>
  <c r="BA24" i="4"/>
  <c r="BA23" i="4"/>
  <c r="BA22" i="4"/>
  <c r="BA5" i="4"/>
  <c r="BA6" i="4"/>
  <c r="BA7" i="4"/>
  <c r="BA8" i="4"/>
  <c r="BA9" i="4"/>
  <c r="BA10" i="4"/>
  <c r="BA11" i="4"/>
  <c r="BA12" i="4"/>
  <c r="BA13" i="4"/>
  <c r="BA14" i="4"/>
  <c r="BA15" i="4"/>
  <c r="BA16" i="4"/>
  <c r="BA17" i="4"/>
  <c r="BA18" i="4"/>
  <c r="AF4" i="4"/>
  <c r="BA4" i="4"/>
  <c r="AF32" i="4"/>
  <c r="AF33" i="4"/>
  <c r="AF34" i="4"/>
  <c r="AF35" i="4"/>
  <c r="AF36" i="4"/>
  <c r="AF37" i="4"/>
  <c r="AF38" i="4"/>
  <c r="AF39" i="4"/>
  <c r="AF40" i="4"/>
  <c r="AF31" i="4"/>
  <c r="AF26" i="4"/>
  <c r="AF25" i="4"/>
  <c r="AF24" i="4"/>
  <c r="AF23" i="4"/>
  <c r="AF22" i="4"/>
  <c r="AF21" i="4"/>
  <c r="AF20" i="4"/>
  <c r="AF19" i="4"/>
  <c r="AF18" i="4"/>
  <c r="AF17" i="4"/>
  <c r="AF6" i="4"/>
  <c r="AF7" i="4"/>
  <c r="AF8" i="4"/>
  <c r="AF9" i="4"/>
  <c r="AF10" i="4"/>
  <c r="AF11" i="4"/>
  <c r="AF12" i="4"/>
  <c r="AF13" i="4"/>
  <c r="AF5" i="4"/>
  <c r="K18" i="4"/>
  <c r="K19" i="4"/>
  <c r="K20" i="4"/>
  <c r="K21" i="4"/>
  <c r="K22" i="4"/>
  <c r="K23" i="4"/>
  <c r="K17" i="4"/>
  <c r="K10" i="4"/>
  <c r="K9" i="4"/>
  <c r="K8" i="4"/>
  <c r="K7" i="4"/>
  <c r="K6" i="4"/>
  <c r="K5" i="4"/>
  <c r="K4" i="4"/>
  <c r="CC24" i="3"/>
  <c r="BZ24" i="3"/>
  <c r="BW24" i="3"/>
  <c r="BT24" i="3"/>
  <c r="AJ10" i="3"/>
  <c r="BG29" i="2"/>
  <c r="BG28" i="2"/>
  <c r="BG27" i="2"/>
  <c r="BG26" i="2"/>
  <c r="AI26" i="2"/>
  <c r="BG25" i="2"/>
  <c r="AI25" i="2"/>
  <c r="BG24" i="2"/>
  <c r="AI24" i="2"/>
  <c r="BG23" i="2"/>
  <c r="AI23" i="2"/>
  <c r="K20" i="2"/>
  <c r="AI22" i="2"/>
  <c r="K19" i="2"/>
  <c r="AI21" i="2"/>
  <c r="K18" i="2"/>
  <c r="AI20" i="2"/>
  <c r="K17" i="2"/>
  <c r="AI19" i="2"/>
  <c r="K16" i="2"/>
  <c r="AI18" i="2"/>
  <c r="K15" i="2"/>
  <c r="K14" i="2"/>
  <c r="AI13" i="2"/>
  <c r="AI12" i="2"/>
  <c r="BG11" i="2"/>
  <c r="AI11" i="2"/>
  <c r="BG10" i="2"/>
  <c r="AI10" i="2"/>
  <c r="K10" i="2"/>
  <c r="BG9" i="2"/>
  <c r="AI9" i="2"/>
  <c r="K9" i="2"/>
  <c r="BG8" i="2"/>
  <c r="AI8" i="2"/>
  <c r="K8" i="2"/>
  <c r="BG7" i="2"/>
  <c r="AI7" i="2"/>
  <c r="K7" i="2"/>
  <c r="BG6" i="2"/>
  <c r="AI6" i="2"/>
  <c r="K6" i="2"/>
  <c r="BG5" i="2"/>
  <c r="AI5" i="2"/>
  <c r="K5" i="2"/>
  <c r="BG4" i="2"/>
  <c r="AI4" i="2"/>
  <c r="K4" i="2"/>
  <c r="AI8" i="1"/>
</calcChain>
</file>

<file path=xl/sharedStrings.xml><?xml version="1.0" encoding="utf-8"?>
<sst xmlns="http://schemas.openxmlformats.org/spreadsheetml/2006/main" count="2212" uniqueCount="287">
  <si>
    <t>Cust select</t>
  </si>
  <si>
    <t>Room Name
(Liv, din, fam, M-bed, Kids, Bath, Hall way, M-bath, Other _____)</t>
  </si>
  <si>
    <t xml:space="preserve">Window location
(north, south, east, </t>
  </si>
  <si>
    <t>Special Instruction</t>
  </si>
  <si>
    <t>Liv</t>
  </si>
  <si>
    <t>North</t>
  </si>
  <si>
    <t>No</t>
  </si>
  <si>
    <t>"A" Horizonatal size of the window 
(36-</t>
  </si>
  <si>
    <t>"B" 
Vertical space above the window</t>
  </si>
  <si>
    <t>"C" 
Space from floor to the top of the window molding</t>
  </si>
  <si>
    <t>"D"
space on the Left side of the window</t>
  </si>
  <si>
    <t>"E"
space on the right side of the window</t>
  </si>
  <si>
    <t>Combined swag position
A-Top
B-Bottom
A-Bottom
B-Top</t>
  </si>
  <si>
    <t xml:space="preserve">"A" 
Pattern </t>
  </si>
  <si>
    <t xml:space="preserve">
"B"
Pattern </t>
  </si>
  <si>
    <t xml:space="preserve">
"B"
Color</t>
  </si>
  <si>
    <t>Apply lining?
Yes
No</t>
  </si>
  <si>
    <t># Of Widths
=(chart condtions)</t>
  </si>
  <si>
    <t>Example</t>
  </si>
  <si>
    <t>Combined fabrics, trim options, work order</t>
  </si>
  <si>
    <t>Default</t>
  </si>
  <si>
    <t>Formula</t>
  </si>
  <si>
    <t>Install dept</t>
  </si>
  <si>
    <t>Paint dept</t>
  </si>
  <si>
    <t>Wkrm</t>
  </si>
  <si>
    <t>"A" Horizonatal size of the window 
Min-Max</t>
  </si>
  <si>
    <t xml:space="preserve">"B" 
Vertical space above the window
Min-Max 
</t>
  </si>
  <si>
    <r>
      <rPr>
        <sz val="8"/>
        <color rgb="FFFF0000"/>
        <rFont val="Arial"/>
        <family val="2"/>
      </rPr>
      <t>Combo Type:
French shell crown,
Roman shell crown</t>
    </r>
    <r>
      <rPr>
        <sz val="8"/>
        <color rgb="FF000000"/>
        <rFont val="Arial"/>
        <family val="2"/>
      </rPr>
      <t xml:space="preserve"> </t>
    </r>
  </si>
  <si>
    <t>Hardware Color
AG-WC
AG- WOC
AS
ASWC
RG 
RGWC
PS
PSWC</t>
  </si>
  <si>
    <t>Hardware Projection:
3 1/2
5 1/2</t>
  </si>
  <si>
    <t>Swag Type
Center</t>
  </si>
  <si>
    <t xml:space="preserve">Combine fabrics
"Yes"
</t>
  </si>
  <si>
    <t>"A"
Color</t>
  </si>
  <si>
    <t xml:space="preserve">"Yes"
Self
Pattern name
</t>
  </si>
  <si>
    <t xml:space="preserve">"Yes"
Lining Color
</t>
  </si>
  <si>
    <t>Apply Trim  
Yes
No</t>
  </si>
  <si>
    <t>"yes"
Trim- 
Pattern</t>
  </si>
  <si>
    <t>"yes"
Trim-  
Color</t>
  </si>
  <si>
    <t>Swag positon
Pair</t>
  </si>
  <si>
    <t>Swag Gathering Take up allowance 
2</t>
  </si>
  <si>
    <t>Swags pocket size
1</t>
  </si>
  <si>
    <t>Swags hem size 
.5</t>
  </si>
  <si>
    <t>Fabric Price Group
Refer to Fabrics  specs</t>
  </si>
  <si>
    <t>Fabric Price Group
Refer to Trims  specs</t>
  </si>
  <si>
    <t>Swags Dept =(chart condtions)</t>
  </si>
  <si>
    <t xml:space="preserve"> Swags Cascade Length 
=(chart conditons)</t>
  </si>
  <si>
    <t xml:space="preserve"> SwagTail Length
=(chart conditions)</t>
  </si>
  <si>
    <r>
      <t>Labor on swag
= # of width (</t>
    </r>
    <r>
      <rPr>
        <b/>
        <sz val="8"/>
        <color theme="8"/>
        <rFont val="Calibri (Body)"/>
      </rPr>
      <t>round up to next even number</t>
    </r>
    <r>
      <rPr>
        <b/>
        <sz val="8"/>
        <color rgb="FFFA7D00"/>
        <rFont val="Calibri"/>
        <family val="2"/>
        <scheme val="minor"/>
      </rPr>
      <t>) X labor of each swag</t>
    </r>
  </si>
  <si>
    <t>Cost of fabrics
Pattern "A"</t>
  </si>
  <si>
    <t>Cost of Fabrics Pattern" B"</t>
  </si>
  <si>
    <t>Cost of trim</t>
  </si>
  <si>
    <t>French</t>
  </si>
  <si>
    <t>Yes</t>
  </si>
  <si>
    <t>A</t>
  </si>
  <si>
    <t>Anat</t>
  </si>
  <si>
    <t>Red</t>
  </si>
  <si>
    <t>Steve</t>
  </si>
  <si>
    <t>Green</t>
  </si>
  <si>
    <t>Self</t>
  </si>
  <si>
    <t>Coby</t>
  </si>
  <si>
    <t>Silver</t>
  </si>
  <si>
    <t>None</t>
  </si>
  <si>
    <t>if MC&lt;120, swag dept=25</t>
  </si>
  <si>
    <t>if swag dept = 25,1width</t>
  </si>
  <si>
    <t xml:space="preserve">if swag dept=25,Cas=20 </t>
  </si>
  <si>
    <t xml:space="preserve">if swag cascade=20,Tail=10 </t>
  </si>
  <si>
    <t xml:space="preserve">Example: </t>
  </si>
  <si>
    <t>MA=</t>
  </si>
  <si>
    <t>if MC=&gt;120-180 swag dept=30</t>
  </si>
  <si>
    <t>If swag dept = 30,1.5 width</t>
  </si>
  <si>
    <t>if swag dept=30,Cas=25</t>
  </si>
  <si>
    <t xml:space="preserve">if swag cascade=25,Tail=12 </t>
  </si>
  <si>
    <t>yes</t>
  </si>
  <si>
    <t>Jon</t>
  </si>
  <si>
    <t>Blue</t>
  </si>
  <si>
    <t>MF=</t>
  </si>
  <si>
    <t>if MC&gt;181-300, swag dept=40</t>
  </si>
  <si>
    <t>If swag dept = 40, 2 widths</t>
  </si>
  <si>
    <t>if swag dept=35, Cas=30</t>
  </si>
  <si>
    <t xml:space="preserve">if swag cascade=30,Tail=15 </t>
  </si>
  <si>
    <t xml:space="preserve"># of widths </t>
  </si>
  <si>
    <t>Results</t>
  </si>
  <si>
    <t>if swag dept=40, Cas=36</t>
  </si>
  <si>
    <t xml:space="preserve">if swag cascade=30,Tail=18 </t>
  </si>
  <si>
    <t>Labor cost</t>
  </si>
  <si>
    <t xml:space="preserve"># of yards </t>
  </si>
  <si>
    <t>Fullness=</t>
  </si>
  <si>
    <t>Fabric price group</t>
  </si>
  <si>
    <t>Trim price group</t>
  </si>
  <si>
    <t xml:space="preserve">Swag dept= </t>
  </si>
  <si>
    <t>Fabric cost per yard</t>
  </si>
  <si>
    <t>Trim cost per yard</t>
  </si>
  <si>
    <t>Cascade length</t>
  </si>
  <si>
    <t>Swags tail</t>
  </si>
  <si>
    <t>Swag hem</t>
  </si>
  <si>
    <t>swag take up</t>
  </si>
  <si>
    <t># of widths</t>
  </si>
  <si>
    <t>Pattern A</t>
  </si>
  <si>
    <t>Patten B</t>
  </si>
  <si>
    <t>Combo type</t>
  </si>
  <si>
    <t>Swag Type</t>
  </si>
  <si>
    <t xml:space="preserve">"B"
Space above the window </t>
  </si>
  <si>
    <t>"C Minium" 
Space from floor to the top of the window molding</t>
  </si>
  <si>
    <t>"C Maximum 
Space from floor to the top of the window molding</t>
  </si>
  <si>
    <t xml:space="preserve">"D"
Space need it on Left side of the windows
</t>
  </si>
  <si>
    <t>"E"
Space need it on right side of the windows</t>
  </si>
  <si>
    <t>"F"
Swag Cut out measurments</t>
  </si>
  <si>
    <t>Swag Cut out measurments</t>
  </si>
  <si>
    <t>"Swag Depth"</t>
  </si>
  <si>
    <t>Fullness Multiplier</t>
  </si>
  <si>
    <t># Of fabric widths</t>
  </si>
  <si>
    <t xml:space="preserve">Center Swag Cascade Length
(left) </t>
  </si>
  <si>
    <t>Center swagTail Length
(left )</t>
  </si>
  <si>
    <t xml:space="preserve">Center Swag Cascade Length
(right) </t>
  </si>
  <si>
    <t>Center swagTail Length
(right)</t>
  </si>
  <si>
    <t>Combo Type</t>
  </si>
  <si>
    <t>Fullnees Muliplier</t>
  </si>
  <si>
    <t>Fullness Multipler</t>
  </si>
  <si>
    <t>Roman leaf  crown combo</t>
  </si>
  <si>
    <t>Center Swag</t>
  </si>
  <si>
    <t xml:space="preserve">French shell crown combo
</t>
  </si>
  <si>
    <t>Nova crown combo</t>
  </si>
  <si>
    <t>Center swag</t>
  </si>
  <si>
    <t>Victorian crown combo</t>
  </si>
  <si>
    <t xml:space="preserve">Roman shell crown combo
</t>
  </si>
  <si>
    <t>Swag type</t>
  </si>
  <si>
    <t>Rose passion crown combo</t>
  </si>
  <si>
    <t>Gothic crown Combo</t>
  </si>
  <si>
    <t>Fullness Factor</t>
  </si>
  <si>
    <t xml:space="preserve">Scroll Swag Cascade Length
(left or right) </t>
  </si>
  <si>
    <t>Left Scroll swagTail Length
(left or right)</t>
  </si>
  <si>
    <t>Labor per swag</t>
  </si>
  <si>
    <t>Fabric price Group</t>
  </si>
  <si>
    <t>Trim Cost per yard</t>
  </si>
  <si>
    <t xml:space="preserve">Scroll Swag Cascades Length
(left or right) </t>
  </si>
  <si>
    <t>Over swag
Under swag</t>
  </si>
  <si>
    <t>25"</t>
  </si>
  <si>
    <t>PGA= 25
PGB=30
PGC=35
PGD=40</t>
  </si>
  <si>
    <t>PGA= 10
PGB=15
PGC=20
PGD=30</t>
  </si>
  <si>
    <t xml:space="preserve">Swag Type
Over swag
Under swag
</t>
  </si>
  <si>
    <t>single swags top width =
(chart condtions)
MA-(MFx2)/2</t>
  </si>
  <si>
    <t>Over</t>
  </si>
  <si>
    <t>Fullness =</t>
  </si>
  <si>
    <t>swag cascades=</t>
  </si>
  <si>
    <t>swag cascades =</t>
  </si>
  <si>
    <t>swags take up=</t>
  </si>
  <si>
    <t>swags take up =</t>
  </si>
  <si>
    <t>Swags hem=</t>
  </si>
  <si>
    <t>Swags hem =</t>
  </si>
  <si>
    <t>Scroll swags pocket=</t>
  </si>
  <si>
    <t>Scroll swags pocket =</t>
  </si>
  <si>
    <t># of widths=</t>
  </si>
  <si>
    <t>Total yards Pattern A</t>
  </si>
  <si>
    <t>Please round up to 4</t>
  </si>
  <si>
    <t>Total yards Pattern B</t>
  </si>
  <si>
    <t>Fabric pattern name</t>
  </si>
  <si>
    <t>Fabric Color</t>
  </si>
  <si>
    <t>Fabrics specifications</t>
  </si>
  <si>
    <t>Test</t>
  </si>
  <si>
    <t>Test 1</t>
  </si>
  <si>
    <t>Taha</t>
  </si>
  <si>
    <t>Aba</t>
  </si>
  <si>
    <t>White</t>
  </si>
  <si>
    <t>Off white</t>
  </si>
  <si>
    <t>Taupe</t>
  </si>
  <si>
    <t>Burgundy</t>
  </si>
  <si>
    <t>B</t>
  </si>
  <si>
    <t>C</t>
  </si>
  <si>
    <t>D</t>
  </si>
  <si>
    <t>Trims specifications</t>
  </si>
  <si>
    <t>Trim Color</t>
  </si>
  <si>
    <t>Trim pattern name</t>
  </si>
  <si>
    <t>Test1</t>
  </si>
  <si>
    <t>Hardware Color</t>
  </si>
  <si>
    <t>AG=Antiqu gold
AS=Antique Silver
RG=Radiant Gold
PS=Platinum Silver                 
OB=Old black</t>
  </si>
  <si>
    <r>
      <rPr>
        <b/>
        <sz val="10"/>
        <color rgb="FFFF0000"/>
        <rFont val="Arial"/>
        <family val="2"/>
      </rPr>
      <t>"Medium"</t>
    </r>
    <r>
      <rPr>
        <b/>
        <sz val="10"/>
        <color rgb="FF000000"/>
        <rFont val="Arial"/>
        <family val="2"/>
      </rPr>
      <t xml:space="preserve"> Gothic crown 5 piece combo</t>
    </r>
  </si>
  <si>
    <r>
      <rPr>
        <b/>
        <sz val="10"/>
        <color rgb="FFFF0000"/>
        <rFont val="Arial"/>
        <family val="2"/>
      </rPr>
      <t>"Medium"</t>
    </r>
    <r>
      <rPr>
        <b/>
        <sz val="10"/>
        <color rgb="FF000000"/>
        <rFont val="Arial"/>
        <family val="2"/>
      </rPr>
      <t xml:space="preserve"> Roma shell crown 5 piece combo</t>
    </r>
  </si>
  <si>
    <r>
      <rPr>
        <b/>
        <sz val="10"/>
        <color rgb="FFFF0000"/>
        <rFont val="Arial"/>
        <family val="2"/>
      </rPr>
      <t xml:space="preserve"> "Small" </t>
    </r>
    <r>
      <rPr>
        <b/>
        <sz val="10"/>
        <color rgb="FF000000"/>
        <rFont val="Arial"/>
        <family val="2"/>
      </rPr>
      <t>roman leaf crown 5 piece combo</t>
    </r>
  </si>
  <si>
    <r>
      <rPr>
        <b/>
        <sz val="10"/>
        <color rgb="FFFF0000"/>
        <rFont val="Arial"/>
        <family val="2"/>
      </rPr>
      <t xml:space="preserve">"Small" </t>
    </r>
    <r>
      <rPr>
        <b/>
        <sz val="10"/>
        <color rgb="FF000000"/>
        <rFont val="Arial"/>
        <family val="2"/>
      </rPr>
      <t>Victorian crown 5 piece combo</t>
    </r>
  </si>
  <si>
    <t>"G"
Scroll angle measurment</t>
  </si>
  <si>
    <r>
      <rPr>
        <b/>
        <sz val="10"/>
        <color rgb="FFFF0000"/>
        <rFont val="Arial"/>
        <family val="2"/>
      </rPr>
      <t xml:space="preserve">"Large" </t>
    </r>
    <r>
      <rPr>
        <b/>
        <sz val="10"/>
        <color rgb="FF000000"/>
        <rFont val="Arial"/>
        <family val="2"/>
      </rPr>
      <t>Rose passion crown 5 piece combo</t>
    </r>
  </si>
  <si>
    <r>
      <rPr>
        <b/>
        <sz val="10"/>
        <color rgb="FFFF0000"/>
        <rFont val="Arial"/>
        <family val="2"/>
      </rPr>
      <t>"Large"</t>
    </r>
    <r>
      <rPr>
        <b/>
        <sz val="10"/>
        <color rgb="FF000000"/>
        <rFont val="Arial"/>
        <family val="2"/>
      </rPr>
      <t xml:space="preserve"> Nova Crown 5 piece combo</t>
    </r>
  </si>
  <si>
    <r>
      <rPr>
        <b/>
        <sz val="10"/>
        <color rgb="FFFF0000"/>
        <rFont val="Arial"/>
        <family val="2"/>
      </rPr>
      <t>"Medium"</t>
    </r>
    <r>
      <rPr>
        <b/>
        <sz val="10"/>
        <color rgb="FF000000"/>
        <rFont val="Arial"/>
        <family val="2"/>
      </rPr>
      <t xml:space="preserve"> French shell crown 5 piece combo</t>
    </r>
  </si>
  <si>
    <t>AG WOC</t>
  </si>
  <si>
    <t>5 1/2"</t>
  </si>
  <si>
    <r>
      <rPr>
        <b/>
        <sz val="10"/>
        <color rgb="FFFF0000"/>
        <rFont val="Arial"/>
        <family val="2"/>
      </rPr>
      <t xml:space="preserve"> "Small"</t>
    </r>
    <r>
      <rPr>
        <b/>
        <sz val="10"/>
        <color rgb="FF000000"/>
        <rFont val="Arial"/>
        <family val="2"/>
      </rPr>
      <t xml:space="preserve"> roman leaf crown 5 piece combo</t>
    </r>
  </si>
  <si>
    <r>
      <rPr>
        <b/>
        <sz val="10"/>
        <color rgb="FFFF0000"/>
        <rFont val="Arial"/>
        <family val="2"/>
      </rPr>
      <t xml:space="preserve">"Small " </t>
    </r>
    <r>
      <rPr>
        <b/>
        <sz val="10"/>
        <color rgb="FF000000"/>
        <rFont val="Arial"/>
        <family val="2"/>
      </rPr>
      <t>Victorian crown 5 piece combo</t>
    </r>
  </si>
  <si>
    <r>
      <rPr>
        <b/>
        <sz val="10"/>
        <color rgb="FFFF0000"/>
        <rFont val="Arial"/>
        <family val="2"/>
      </rPr>
      <t xml:space="preserve">"Medium" </t>
    </r>
    <r>
      <rPr>
        <b/>
        <sz val="10"/>
        <color rgb="FF000000"/>
        <rFont val="Arial"/>
        <family val="2"/>
      </rPr>
      <t>French shell crown 5 piece combo</t>
    </r>
  </si>
  <si>
    <r>
      <rPr>
        <b/>
        <sz val="10"/>
        <color rgb="FFFF0000"/>
        <rFont val="Arial"/>
        <family val="2"/>
      </rPr>
      <t xml:space="preserve">"Large" </t>
    </r>
    <r>
      <rPr>
        <b/>
        <sz val="10"/>
        <color rgb="FF000000"/>
        <rFont val="Arial"/>
        <family val="2"/>
      </rPr>
      <t>Nova Crown 5 piece combo</t>
    </r>
  </si>
  <si>
    <r>
      <rPr>
        <b/>
        <sz val="10"/>
        <color rgb="FFFF0000"/>
        <rFont val="Arial"/>
        <family val="2"/>
      </rPr>
      <t xml:space="preserve">"Large" </t>
    </r>
    <r>
      <rPr>
        <b/>
        <sz val="10"/>
        <rFont val="Arial"/>
        <family val="2"/>
      </rPr>
      <t xml:space="preserve">Rose passion </t>
    </r>
    <r>
      <rPr>
        <b/>
        <sz val="10"/>
        <color rgb="FF000000"/>
        <rFont val="Arial"/>
        <family val="2"/>
      </rPr>
      <t>crown 5 piece combo</t>
    </r>
  </si>
  <si>
    <t>"G"
Scroll angle measurment
(Calculated) (=if B=x,G=Y)</t>
  </si>
  <si>
    <t>Combonation #A3,#C3
Combonation
 Size
50%-50%</t>
  </si>
  <si>
    <t>Combonation #B3
Combonation
 Size
25%-75%</t>
  </si>
  <si>
    <t>Customer Name:___</t>
  </si>
  <si>
    <t>Workroom Name: __</t>
  </si>
  <si>
    <t>Order due date: ___</t>
  </si>
  <si>
    <t>Work order written date:__</t>
  </si>
  <si>
    <t xml:space="preserve"> Swags Tail Length
=(chart conditions)</t>
  </si>
  <si>
    <t>Combonation #A1
1 width (Self lined )
# of yds  "pattern A"
= (MA-(MG x2) x fullnes +(Swag cascades x2) +(swags take up + swag hem + swags pocket x 2) x number of width)/36x2</t>
  </si>
  <si>
    <t>MG=</t>
  </si>
  <si>
    <t xml:space="preserve">"A Minimum"
Horizontal size of window frame </t>
  </si>
  <si>
    <t>"A Maximum"
Horizontal size of window frame</t>
  </si>
  <si>
    <t xml:space="preserve">MA = Horizontal size of window frame </t>
  </si>
  <si>
    <t>"B"
Space above the window frame</t>
  </si>
  <si>
    <t>"C" 
Minimum Space from floor to the top of the window frame</t>
  </si>
  <si>
    <t>"C" Maximum 
Space from floor to the top of the window frame</t>
  </si>
  <si>
    <t>MC=Space from floor to the top of the window frame</t>
  </si>
  <si>
    <t>MB=Space above the window frame</t>
  </si>
  <si>
    <t xml:space="preserve">"D"
Space on the Left side of the window frame
</t>
  </si>
  <si>
    <t>"E"
Space on right side of the window frame</t>
  </si>
  <si>
    <t>MD=Space on the Left side of the window frame</t>
  </si>
  <si>
    <t>ME=Space on the right side of the window frame</t>
  </si>
  <si>
    <t>MF=Swag Cut out measurments</t>
  </si>
  <si>
    <t>MG=Scroll angel measurment</t>
  </si>
  <si>
    <t>Gothic</t>
  </si>
  <si>
    <t>Combonation #A2
1 width Other lining
(100%-100% Combo. of A and B)
# of yds "pattern A"
= (MA-(MGx2) x fullnes +(Swag cascades x2)+(swags take up + swag hem + swags pocket x 2)x number of width/36
# of yds "pattern B"
= (MA-(MGx2)x fullnes +(Swag cascades x2)+ (swags take up + swag hem + swags pocket x 2)x number of width/36</t>
  </si>
  <si>
    <t>Combonation #A3
1 width Top Bottom 
(50-50% Combo. of A and B)
# of yds "pattern A"
= (MA-(MG x 2)X fullnes +(Swag cascades x2) (swags take up + swag hem + swags pocket x 2)x number of width/36
# of yds "pattern B"
= (MA-(MG x 2)x fullnes +(Swag cascades x2) (scroll swags take up + swag hem + swags pocket x 2)x number of width/36</t>
  </si>
  <si>
    <t>Combonation #B1
(1 1/2 Pattern A Self lined) 
# of yard pattern "A"
= (MA-(MGx2) x fullnes +(Swag cascades x2) (Swags take up + swag hem + swags pocket x 2)x number of width/36x2</t>
  </si>
  <si>
    <t>Combonation #B2
1 1/2 width Other lining
(100%-100% Combo. of A and B)
# of yds "pattern A"
= (MA-MGx2) x fullnes +(Swag cascades x2) (swags take up + swag hem + swags pocket x 2)x number of width/36
# of yds "pattern B"
= (MA-MGx2) x fullnes +(Swag cascades x2) (scroll swags take up + swag hem + swags pocket x 2)x number of width/36</t>
  </si>
  <si>
    <t xml:space="preserve">Combonation #B3 
(25-75% Combined Top-Bottom A and B)
"Total of 1+2 Combined"
1=Pattern A, (MA-MGx2) x fullnes +(Swag cascades x2) (Swags take up + swag hem + swags pocket x 2)x 2width/36x2
2=Pattern B(MA-MGx2) x fullnes +(Swag cascades x2) (Swags take up + swag hem + swags pocket x 2)x 1width/36x2
</t>
  </si>
  <si>
    <t>Combonation #C1
2 width (Self lined )
# of yds  "pattern A"
= (Meas A-MGx2) x fullnes +(Swag cascades x2) (swags take up + swag hem + swags pocket x 2) x number of width)x2/36</t>
  </si>
  <si>
    <t>Combonation #C2
2 width Other lining
(100%-100% Combo. of A and B)
# of yds "pattern A"
= (MA-MGx2) x fullnes +(Swag cascades x2) (swags take up + swag hem + swags pocket x 2)x number of width/36
# of yds "pattern B"
= (MA-MGx2) x fullnes +(Swag cascades x2) (swags take up + swag hem + swags pocket x 2)x number of width/36</t>
  </si>
  <si>
    <t>Combonation #C3
2 width Top Bottom 
(100-100% Combo. of A and B)
# of yds "pattern A"
= (MA-MGx2) x fullnes +(Swag cascades x2) (swags take up + swag hem + swags pocket x 2)x number of width/36
# of yds "pattern B"
= (MA-MGx2) x fullnes +(Swag cascades x2) (swags take up + swag hem + swags pocket x 2)x number of width/36</t>
  </si>
  <si>
    <t>Nova</t>
  </si>
  <si>
    <t>Swag tails</t>
  </si>
  <si>
    <t>Combonation #A1
1 width (Self lined )
# of yds  "pattern A"
= (MA-MGx2) x fullnes +(Swag cascades x4)+(swags tail x 4)+ (swags take up + swags hem x 2) x number of width)x2/36</t>
  </si>
  <si>
    <t>Combonation #A2
1 width "Other lining"
(100%-100% Combo. of A and B)
# of yds "pattern A"
= (MA-MGx2) x fullnes +(Swags cascades x2)+(Swags tails*4)+ (swags take up + swags hem x 2)x (number of width)/36
# of yds "pattern B"
= (MA-MGx2) x fullnes +(Swag cascades x2)+(swags tails x4)+ (swags take up + swag hem + swags pocket x 2)x number of width/36</t>
  </si>
  <si>
    <t>Combonation #A3
1 width Top - Bottom 
(50-50% Combo. of A and B)
# of yds "pattern A"
= (MA-MG x2)x fullnes +(Swag cascades x2)+(Swag tails x2)+ (swags take up +  swags pocket x 2)x number of width/36
# of yds "pattern B"
= (MA-MG)x fullnes +(Swags cascades x2) +(swags tails)+(swags take up + swags hem + swags pockets x 2)x number of width/36</t>
  </si>
  <si>
    <t>Combonation #B1
(1 1/2 Pattern A Self lined) 
# of yard pattern "A"
= (MA-MGx2)x fullnes +(Swag cascades + swags tails x2)+ (Swags take up + swags hem x 2)x number of width/36</t>
  </si>
  <si>
    <t>Swag tail</t>
  </si>
  <si>
    <t>Swags Tail =</t>
  </si>
  <si>
    <t>Combonation #B2
1 1/2 width Other lining
(100%-100% Combo. of A and B)
# of yds "pattern A"
= (MA-MGx2) x fullnes +(Swag cascades +swag tails + swags take up + swag hem x 2)x number of width/36
# of yds "pattern B"
= (MA-MGx2) x fullnes +(Swag cascades +swag tails + swags take up + swag hem x 2)x number of width/36</t>
  </si>
  <si>
    <t>Combonation #B3 
(25-75% Combined Top-Bottom A and B)
"Total of 1+2 Combined"
1=Pattern A,(MA-MGx2)x fullnes +(Swag cascades+swag tails x2)+ (Swags take up + swag hem x2)x number of width/36x2
2=Pattern B(MA-MGx2)x fullnes +(Swag cascades+swag tails x2) (Swags take up + swag hem x 2)x 1width/36x2</t>
  </si>
  <si>
    <t>Combonation #C1
2 width (Self lined )
# of yds  "pattern A"
= (MeasA+MG x 2) x fullnes +(Swags cascades+swags tails x2)+(swags take up + swag hem x 2) x number of width)x2/36</t>
  </si>
  <si>
    <t>Combonation #C2
2 width Other lining
(100%-100% Combo. of A and B)
# of yds "pattern A"
= (MA-Mg x2)x fullnes +(Swag cascades +Swag tails x2) (swags take up +swag hem  x 2)x number of width/36
# of yds "pattern B"
= (MA-MG x2)x fullnes +(Swag cascades +swag tails x2)+ (swags take up + swag hem x 2)x number of width/36</t>
  </si>
  <si>
    <t>Swags tails</t>
  </si>
  <si>
    <t>Combonation #C3
2 width Top Bottom 
(100-100% Combo. of A and B)
# of yds "pattern A"
= (MA -MGx2)x fullnes +(Swag cascades+Swag tails x2)+(swags take up + swag hem x2)x number of width/36
# of yds "pattern B"
= (MA-G x2) x fullnes +(Swag cascades +swage tails x2) (swags take up + swag hem + swags pocket x 2)x number of width/36</t>
  </si>
  <si>
    <t>Swags tail =</t>
  </si>
  <si>
    <t># of yrds Trim on swag
== (Meas A-MG) x fullnes +(Swag tail x2)/36</t>
  </si>
  <si>
    <t xml:space="preserve">Combo Type:
French shell crown,
Roman shell crown </t>
  </si>
  <si>
    <t>Swags top width =
(chart condtions)
MA-(MGx2)/2</t>
  </si>
  <si>
    <t>"G"
Scroll angle measurment
(Calculated) (=if B=X, D=&gt;4,E=&gt;4,G=Y)</t>
  </si>
  <si>
    <t>Roman Leaf</t>
  </si>
  <si>
    <t>Victorian</t>
  </si>
  <si>
    <t>French Shell</t>
  </si>
  <si>
    <t>Roman Shell</t>
  </si>
  <si>
    <t>Rose Passion</t>
  </si>
  <si>
    <t>Over Swag</t>
  </si>
  <si>
    <t>Under Swag</t>
  </si>
  <si>
    <t>Fab A -Top, Fab B - Bottom</t>
  </si>
  <si>
    <t>Fab B -Top, Fab A - Bottom</t>
  </si>
  <si>
    <t>South</t>
  </si>
  <si>
    <t>East</t>
  </si>
  <si>
    <t>West</t>
  </si>
  <si>
    <t>"F"
Swag Cut out measurment
(Calculated) (=if B=x,G=Y)</t>
  </si>
  <si>
    <t>A-50% , B-50%</t>
  </si>
  <si>
    <t>A-25% , B-75%</t>
  </si>
  <si>
    <t>A-100% , B-100%</t>
  </si>
  <si>
    <t>Other</t>
  </si>
  <si>
    <t># of yrds Trim on swag
== (Meas A-MF*2) x fullnes +(Swag tail+Swag Takeup x2)*widths/36</t>
  </si>
  <si>
    <t>Abc</t>
  </si>
  <si>
    <t>Black</t>
  </si>
  <si>
    <t>Dining</t>
  </si>
  <si>
    <t>Lounge</t>
  </si>
  <si>
    <t>NA</t>
  </si>
  <si>
    <t>Living</t>
  </si>
  <si>
    <t>na</t>
  </si>
  <si>
    <t xml:space="preserve">Room Name
</t>
  </si>
  <si>
    <t xml:space="preserve">Window location
</t>
  </si>
  <si>
    <t xml:space="preserve">"A" Horizonatal size of the window 
</t>
  </si>
  <si>
    <t xml:space="preserve">"F"
Swag Cut out measurment
</t>
  </si>
  <si>
    <t xml:space="preserve">"G"
Scroll angle measurment
</t>
  </si>
  <si>
    <t xml:space="preserve">Combo Type:
</t>
  </si>
  <si>
    <t xml:space="preserve">Swag Type
</t>
  </si>
  <si>
    <t>Combined swag position</t>
  </si>
  <si>
    <t>Apply lining?</t>
  </si>
  <si>
    <t>Swag Position Pair</t>
  </si>
  <si>
    <t>Fab A Group = A</t>
  </si>
  <si>
    <t>Bed</t>
  </si>
  <si>
    <t>Orange</t>
  </si>
  <si>
    <t>Lining</t>
  </si>
  <si>
    <t>Test2</t>
  </si>
  <si>
    <t>Test5</t>
  </si>
  <si>
    <t>Test6</t>
  </si>
  <si>
    <t>Master</t>
  </si>
  <si>
    <t>dble</t>
  </si>
  <si>
    <t>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</si>
</sst>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_(* #,##0.0000_);_(* \(#,##0.0000\);_(* &quot;-&quot;??_);_(@_)"/>
  </numFmts>
  <fonts count="3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color rgb="FFFF0000"/>
      <name val="Arial"/>
      <family val="2"/>
    </font>
    <font>
      <sz val="8"/>
      <name val="Arial"/>
      <family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sz val="8"/>
      <color rgb="FF006100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9"/>
      <color rgb="FFFA7D00"/>
      <name val="Calibri"/>
      <family val="2"/>
      <scheme val="minor"/>
    </font>
    <font>
      <sz val="9"/>
      <color rgb="FFFA7D00"/>
      <name val="Calibri"/>
      <family val="2"/>
      <scheme val="minor"/>
    </font>
    <font>
      <b/>
      <sz val="8"/>
      <color theme="8"/>
      <name val="Calibri (Body)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8"/>
      <color rgb="FF9C6500"/>
      <name val="Calibri"/>
      <family val="2"/>
      <scheme val="minor"/>
    </font>
    <font>
      <sz val="8"/>
      <color rgb="FFFA7D00"/>
      <name val="Calibri"/>
      <family val="2"/>
      <scheme val="minor"/>
    </font>
    <font>
      <sz val="8"/>
      <color theme="8"/>
      <name val="Arial"/>
      <family val="2"/>
    </font>
    <font>
      <sz val="8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6"/>
      <color theme="1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rgb="FF7F7F7F"/>
      </right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3">
    <xf numFmtId="0" fontId="0" fillId="0" borderId="0"/>
    <xf numFmtId="164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29" fillId="2" borderId="0" applyNumberFormat="0" applyBorder="0" applyAlignment="0" applyProtection="0"/>
    <xf numFmtId="0" fontId="30" fillId="4" borderId="1" applyNumberFormat="0" applyAlignment="0" applyProtection="0"/>
    <xf numFmtId="43" fontId="1" fillId="0" borderId="0" applyFont="0" applyFill="0" applyBorder="0" applyAlignment="0" applyProtection="0"/>
  </cellStyleXfs>
  <cellXfs count="310">
    <xf numFmtId="0" fontId="0" fillId="0" borderId="0" xfId="0"/>
    <xf numFmtId="0" fontId="6" fillId="0" borderId="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Font="1" applyAlignment="1"/>
    <xf numFmtId="0" fontId="7" fillId="5" borderId="3" xfId="0" applyFont="1" applyFill="1" applyBorder="1" applyAlignment="1">
      <alignment horizontal="center" vertical="center" wrapText="1"/>
    </xf>
    <xf numFmtId="0" fontId="0" fillId="0" borderId="0" xfId="0" applyFont="1" applyAlignment="1">
      <alignment wrapText="1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4" xfId="0" applyFont="1" applyBorder="1" applyAlignment="1"/>
    <xf numFmtId="0" fontId="0" fillId="0" borderId="6" xfId="0" applyFont="1" applyBorder="1" applyAlignme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wrapText="1"/>
    </xf>
    <xf numFmtId="0" fontId="6" fillId="0" borderId="0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65" fontId="6" fillId="0" borderId="0" xfId="1" applyNumberFormat="1" applyFont="1" applyBorder="1" applyAlignment="1">
      <alignment horizontal="center" wrapText="1"/>
    </xf>
    <xf numFmtId="0" fontId="6" fillId="0" borderId="8" xfId="0" applyFont="1" applyBorder="1" applyAlignment="1">
      <alignment horizontal="center" wrapText="1"/>
    </xf>
    <xf numFmtId="0" fontId="6" fillId="8" borderId="2" xfId="0" applyFont="1" applyFill="1" applyBorder="1" applyAlignment="1">
      <alignment horizontal="center" wrapText="1"/>
    </xf>
    <xf numFmtId="0" fontId="7" fillId="6" borderId="3" xfId="0" applyFont="1" applyFill="1" applyBorder="1" applyAlignment="1">
      <alignment horizontal="center" vertical="center" wrapText="1"/>
    </xf>
    <xf numFmtId="0" fontId="9" fillId="5" borderId="9" xfId="0" applyFont="1" applyFill="1" applyBorder="1" applyAlignment="1">
      <alignment horizontal="center" vertical="center" wrapText="1"/>
    </xf>
    <xf numFmtId="0" fontId="9" fillId="5" borderId="10" xfId="0" applyFont="1" applyFill="1" applyBorder="1" applyAlignment="1">
      <alignment horizontal="center" vertical="center" wrapText="1"/>
    </xf>
    <xf numFmtId="0" fontId="9" fillId="5" borderId="3" xfId="0" applyFont="1" applyFill="1" applyBorder="1" applyAlignment="1">
      <alignment horizontal="center" vertical="center" wrapText="1"/>
    </xf>
    <xf numFmtId="0" fontId="10" fillId="2" borderId="3" xfId="2" applyFont="1" applyBorder="1" applyAlignment="1">
      <alignment horizontal="center" vertical="center" wrapText="1"/>
    </xf>
    <xf numFmtId="0" fontId="10" fillId="2" borderId="4" xfId="2" applyFont="1" applyBorder="1" applyAlignment="1">
      <alignment horizontal="center" vertical="center" wrapText="1"/>
    </xf>
    <xf numFmtId="0" fontId="11" fillId="4" borderId="11" xfId="4" applyFont="1" applyBorder="1" applyAlignment="1">
      <alignment horizontal="center" vertical="center" wrapText="1"/>
    </xf>
    <xf numFmtId="0" fontId="12" fillId="4" borderId="1" xfId="4" applyFont="1" applyAlignment="1">
      <alignment horizontal="center" vertical="center" wrapText="1"/>
    </xf>
    <xf numFmtId="0" fontId="11" fillId="4" borderId="1" xfId="4" applyFont="1" applyAlignment="1">
      <alignment horizontal="center" vertical="center" wrapText="1"/>
    </xf>
    <xf numFmtId="0" fontId="11" fillId="4" borderId="6" xfId="4" applyFont="1" applyBorder="1" applyAlignment="1">
      <alignment horizontal="center" vertical="center" wrapText="1"/>
    </xf>
    <xf numFmtId="0" fontId="0" fillId="9" borderId="0" xfId="0" applyFont="1" applyFill="1" applyAlignment="1">
      <alignment wrapText="1"/>
    </xf>
    <xf numFmtId="0" fontId="13" fillId="4" borderId="6" xfId="4" applyFont="1" applyBorder="1" applyAlignment="1">
      <alignment horizontal="center" vertical="center" wrapText="1"/>
    </xf>
    <xf numFmtId="0" fontId="13" fillId="4" borderId="4" xfId="4" applyFont="1" applyBorder="1" applyAlignment="1">
      <alignment horizontal="center" vertical="center" wrapText="1"/>
    </xf>
    <xf numFmtId="165" fontId="13" fillId="4" borderId="6" xfId="1" applyNumberFormat="1" applyFont="1" applyFill="1" applyBorder="1" applyAlignment="1">
      <alignment horizontal="center" vertical="center" wrapText="1"/>
    </xf>
    <xf numFmtId="0" fontId="11" fillId="4" borderId="4" xfId="4" applyFont="1" applyBorder="1" applyAlignment="1">
      <alignment horizontal="center" vertical="center" wrapText="1"/>
    </xf>
    <xf numFmtId="0" fontId="0" fillId="9" borderId="4" xfId="0" applyFont="1" applyFill="1" applyBorder="1" applyAlignment="1">
      <alignment wrapText="1"/>
    </xf>
    <xf numFmtId="0" fontId="12" fillId="4" borderId="6" xfId="4" applyFont="1" applyBorder="1" applyAlignment="1">
      <alignment horizontal="center" vertical="center" wrapText="1"/>
    </xf>
    <xf numFmtId="0" fontId="12" fillId="4" borderId="4" xfId="4" applyFont="1" applyBorder="1" applyAlignment="1">
      <alignment horizontal="center" vertical="center" wrapText="1"/>
    </xf>
    <xf numFmtId="0" fontId="0" fillId="9" borderId="6" xfId="0" applyFont="1" applyFill="1" applyBorder="1" applyAlignment="1">
      <alignment wrapText="1"/>
    </xf>
    <xf numFmtId="0" fontId="0" fillId="0" borderId="0" xfId="0" applyFont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 wrapText="1"/>
    </xf>
    <xf numFmtId="165" fontId="9" fillId="0" borderId="0" xfId="1" applyNumberFormat="1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0" fillId="0" borderId="4" xfId="0" applyFont="1" applyBorder="1" applyAlignment="1">
      <alignment wrapText="1"/>
    </xf>
    <xf numFmtId="0" fontId="0" fillId="0" borderId="12" xfId="0" applyFont="1" applyBorder="1" applyAlignment="1">
      <alignment wrapText="1"/>
    </xf>
    <xf numFmtId="0" fontId="9" fillId="0" borderId="19" xfId="0" applyFont="1" applyFill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27" xfId="0" applyFont="1" applyBorder="1" applyAlignment="1">
      <alignment horizontal="center" vertical="center"/>
    </xf>
    <xf numFmtId="0" fontId="0" fillId="10" borderId="4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10" borderId="27" xfId="0" applyFont="1" applyFill="1" applyBorder="1" applyAlignment="1">
      <alignment horizontal="center" vertical="center"/>
    </xf>
    <xf numFmtId="0" fontId="0" fillId="10" borderId="27" xfId="0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 wrapText="1"/>
    </xf>
    <xf numFmtId="0" fontId="15" fillId="7" borderId="25" xfId="0" applyFont="1" applyFill="1" applyBorder="1" applyAlignment="1">
      <alignment horizontal="center" vertical="center" wrapText="1"/>
    </xf>
    <xf numFmtId="0" fontId="9" fillId="0" borderId="0" xfId="0" applyFont="1" applyAlignment="1"/>
    <xf numFmtId="165" fontId="6" fillId="0" borderId="0" xfId="1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/>
    <xf numFmtId="0" fontId="11" fillId="4" borderId="30" xfId="4" applyFont="1" applyBorder="1" applyAlignment="1">
      <alignment horizontal="center" vertical="center" wrapText="1"/>
    </xf>
    <xf numFmtId="0" fontId="9" fillId="9" borderId="0" xfId="0" applyFont="1" applyFill="1" applyAlignment="1"/>
    <xf numFmtId="0" fontId="18" fillId="4" borderId="6" xfId="4" applyFont="1" applyBorder="1" applyAlignment="1">
      <alignment horizontal="center" vertical="center" wrapText="1"/>
    </xf>
    <xf numFmtId="0" fontId="18" fillId="4" borderId="4" xfId="4" applyFont="1" applyBorder="1" applyAlignment="1">
      <alignment horizontal="center" vertical="center" wrapText="1"/>
    </xf>
    <xf numFmtId="165" fontId="18" fillId="4" borderId="6" xfId="1" applyNumberFormat="1" applyFont="1" applyFill="1" applyBorder="1" applyAlignment="1">
      <alignment horizontal="center" vertical="center" wrapText="1"/>
    </xf>
    <xf numFmtId="0" fontId="9" fillId="9" borderId="4" xfId="0" applyFont="1" applyFill="1" applyBorder="1" applyAlignment="1"/>
    <xf numFmtId="0" fontId="9" fillId="9" borderId="6" xfId="0" applyFont="1" applyFill="1" applyBorder="1" applyAlignment="1"/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9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165" fontId="9" fillId="0" borderId="15" xfId="1" applyNumberFormat="1" applyFont="1" applyBorder="1" applyAlignment="1">
      <alignment horizontal="left" vertical="center"/>
    </xf>
    <xf numFmtId="165" fontId="9" fillId="0" borderId="0" xfId="1" applyNumberFormat="1" applyFont="1" applyBorder="1" applyAlignment="1">
      <alignment horizontal="left" vertical="center"/>
    </xf>
    <xf numFmtId="0" fontId="9" fillId="0" borderId="26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4" xfId="0" applyFont="1" applyBorder="1" applyAlignment="1"/>
    <xf numFmtId="0" fontId="9" fillId="0" borderId="12" xfId="0" applyFont="1" applyBorder="1" applyAlignment="1"/>
    <xf numFmtId="0" fontId="9" fillId="0" borderId="19" xfId="0" applyFont="1" applyBorder="1" applyAlignment="1"/>
    <xf numFmtId="0" fontId="9" fillId="0" borderId="0" xfId="0" applyFont="1" applyAlignment="1">
      <alignment horizontal="left" vertical="center"/>
    </xf>
    <xf numFmtId="164" fontId="9" fillId="0" borderId="15" xfId="1" applyFont="1" applyBorder="1" applyAlignment="1">
      <alignment vertical="center"/>
    </xf>
    <xf numFmtId="164" fontId="9" fillId="0" borderId="0" xfId="1" applyFont="1" applyBorder="1" applyAlignment="1">
      <alignment vertical="center"/>
    </xf>
    <xf numFmtId="0" fontId="9" fillId="0" borderId="15" xfId="0" applyFont="1" applyBorder="1" applyAlignment="1"/>
    <xf numFmtId="0" fontId="9" fillId="0" borderId="19" xfId="0" applyFont="1" applyFill="1" applyBorder="1" applyAlignment="1">
      <alignment horizontal="left" vertical="center"/>
    </xf>
    <xf numFmtId="164" fontId="9" fillId="0" borderId="0" xfId="1" applyFont="1" applyAlignment="1"/>
    <xf numFmtId="165" fontId="9" fillId="0" borderId="0" xfId="1" applyNumberFormat="1" applyFont="1" applyBorder="1" applyAlignment="1"/>
    <xf numFmtId="43" fontId="9" fillId="0" borderId="0" xfId="1" applyNumberFormat="1" applyFont="1" applyBorder="1" applyAlignment="1">
      <alignment vertical="center"/>
    </xf>
    <xf numFmtId="0" fontId="9" fillId="0" borderId="0" xfId="0" applyFont="1" applyBorder="1" applyAlignment="1"/>
    <xf numFmtId="0" fontId="19" fillId="7" borderId="19" xfId="0" applyFont="1" applyFill="1" applyBorder="1" applyAlignment="1"/>
    <xf numFmtId="0" fontId="19" fillId="7" borderId="15" xfId="0" applyFont="1" applyFill="1" applyBorder="1" applyAlignment="1"/>
    <xf numFmtId="0" fontId="9" fillId="0" borderId="31" xfId="0" applyFont="1" applyBorder="1" applyAlignment="1"/>
    <xf numFmtId="164" fontId="9" fillId="0" borderId="20" xfId="1" applyFont="1" applyBorder="1" applyAlignment="1">
      <alignment vertical="center"/>
    </xf>
    <xf numFmtId="0" fontId="9" fillId="0" borderId="20" xfId="0" applyFont="1" applyFill="1" applyBorder="1" applyAlignment="1">
      <alignment horizontal="left" vertical="center"/>
    </xf>
    <xf numFmtId="164" fontId="9" fillId="0" borderId="32" xfId="1" applyFont="1" applyBorder="1" applyAlignment="1">
      <alignment vertical="center"/>
    </xf>
    <xf numFmtId="165" fontId="9" fillId="0" borderId="33" xfId="1" applyNumberFormat="1" applyFont="1" applyBorder="1" applyAlignment="1"/>
    <xf numFmtId="164" fontId="9" fillId="0" borderId="33" xfId="1" applyFont="1" applyBorder="1" applyAlignment="1">
      <alignment vertical="center"/>
    </xf>
    <xf numFmtId="164" fontId="19" fillId="7" borderId="32" xfId="1" applyFont="1" applyFill="1" applyBorder="1" applyAlignment="1">
      <alignment vertical="center"/>
    </xf>
    <xf numFmtId="0" fontId="9" fillId="0" borderId="5" xfId="0" applyFont="1" applyBorder="1" applyAlignment="1"/>
    <xf numFmtId="164" fontId="9" fillId="0" borderId="0" xfId="1" applyFont="1" applyFill="1" applyBorder="1" applyAlignment="1">
      <alignment vertical="center"/>
    </xf>
    <xf numFmtId="0" fontId="0" fillId="0" borderId="19" xfId="0" applyFont="1" applyBorder="1" applyAlignment="1"/>
    <xf numFmtId="0" fontId="9" fillId="0" borderId="20" xfId="0" applyFont="1" applyFill="1" applyBorder="1" applyAlignment="1">
      <alignment horizontal="left" vertical="center" wrapText="1"/>
    </xf>
    <xf numFmtId="164" fontId="0" fillId="0" borderId="18" xfId="1" applyFont="1" applyBorder="1" applyAlignment="1"/>
    <xf numFmtId="0" fontId="0" fillId="0" borderId="0" xfId="0" applyFont="1" applyBorder="1" applyAlignment="1"/>
    <xf numFmtId="0" fontId="9" fillId="0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11" borderId="18" xfId="0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7" fillId="3" borderId="7" xfId="3" applyFont="1" applyBorder="1" applyAlignment="1"/>
    <xf numFmtId="0" fontId="17" fillId="3" borderId="0" xfId="3" applyFont="1" applyBorder="1" applyAlignment="1"/>
    <xf numFmtId="0" fontId="7" fillId="5" borderId="10" xfId="0" applyFont="1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17" fillId="0" borderId="37" xfId="3" applyFont="1" applyFill="1" applyBorder="1" applyAlignment="1"/>
    <xf numFmtId="0" fontId="9" fillId="0" borderId="37" xfId="0" applyFont="1" applyFill="1" applyBorder="1" applyAlignment="1"/>
    <xf numFmtId="0" fontId="11" fillId="9" borderId="6" xfId="4" applyFont="1" applyFill="1" applyBorder="1" applyAlignment="1">
      <alignment horizontal="center" vertical="center" wrapText="1"/>
    </xf>
    <xf numFmtId="0" fontId="0" fillId="9" borderId="4" xfId="0" applyFont="1" applyFill="1" applyBorder="1" applyAlignment="1">
      <alignment horizontal="center" vertical="center"/>
    </xf>
    <xf numFmtId="0" fontId="0" fillId="9" borderId="27" xfId="0" applyFont="1" applyFill="1" applyBorder="1" applyAlignment="1">
      <alignment horizontal="center" vertical="center"/>
    </xf>
    <xf numFmtId="0" fontId="0" fillId="12" borderId="4" xfId="0" applyFont="1" applyFill="1" applyBorder="1" applyAlignment="1">
      <alignment horizontal="center" vertical="center"/>
    </xf>
    <xf numFmtId="0" fontId="0" fillId="13" borderId="4" xfId="0" applyFont="1" applyFill="1" applyBorder="1" applyAlignment="1">
      <alignment horizontal="center" vertical="center"/>
    </xf>
    <xf numFmtId="0" fontId="0" fillId="13" borderId="27" xfId="0" applyFont="1" applyFill="1" applyBorder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23" fillId="0" borderId="0" xfId="0" applyFont="1" applyAlignment="1">
      <alignment horizontal="center" vertical="center"/>
    </xf>
    <xf numFmtId="0" fontId="23" fillId="0" borderId="15" xfId="0" applyFont="1" applyBorder="1" applyAlignment="1">
      <alignment horizontal="left" vertical="center"/>
    </xf>
    <xf numFmtId="0" fontId="23" fillId="0" borderId="19" xfId="0" applyFont="1" applyBorder="1" applyAlignment="1">
      <alignment horizontal="left" vertical="center"/>
    </xf>
    <xf numFmtId="0" fontId="23" fillId="0" borderId="19" xfId="0" applyFont="1" applyBorder="1" applyAlignment="1">
      <alignment vertical="center" wrapText="1"/>
    </xf>
    <xf numFmtId="0" fontId="23" fillId="0" borderId="15" xfId="0" applyFont="1" applyBorder="1" applyAlignment="1">
      <alignment horizontal="left" vertical="center" wrapText="1"/>
    </xf>
    <xf numFmtId="0" fontId="23" fillId="0" borderId="19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23" fillId="0" borderId="13" xfId="0" applyFont="1" applyBorder="1" applyAlignment="1">
      <alignment horizontal="left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left" wrapText="1"/>
    </xf>
    <xf numFmtId="0" fontId="9" fillId="0" borderId="26" xfId="0" applyFont="1" applyBorder="1" applyAlignment="1"/>
    <xf numFmtId="0" fontId="23" fillId="0" borderId="15" xfId="0" applyFont="1" applyBorder="1" applyAlignment="1">
      <alignment horizontal="center" vertical="center" wrapText="1"/>
    </xf>
    <xf numFmtId="164" fontId="24" fillId="0" borderId="20" xfId="1" applyFont="1" applyBorder="1" applyAlignment="1">
      <alignment vertical="center" wrapText="1"/>
    </xf>
    <xf numFmtId="166" fontId="24" fillId="0" borderId="32" xfId="1" applyNumberFormat="1" applyFont="1" applyBorder="1" applyAlignment="1">
      <alignment horizontal="left" vertical="center" wrapText="1"/>
    </xf>
    <xf numFmtId="0" fontId="23" fillId="0" borderId="19" xfId="0" applyFont="1" applyFill="1" applyBorder="1" applyAlignment="1">
      <alignment horizontal="left" vertical="center"/>
    </xf>
    <xf numFmtId="0" fontId="23" fillId="0" borderId="20" xfId="0" applyFont="1" applyFill="1" applyBorder="1" applyAlignment="1">
      <alignment horizontal="left" vertical="center"/>
    </xf>
    <xf numFmtId="0" fontId="24" fillId="0" borderId="19" xfId="0" applyFont="1" applyFill="1" applyBorder="1" applyAlignment="1">
      <alignment horizontal="left" vertical="center"/>
    </xf>
    <xf numFmtId="0" fontId="24" fillId="0" borderId="20" xfId="0" applyFont="1" applyFill="1" applyBorder="1" applyAlignment="1">
      <alignment horizontal="left" vertical="center"/>
    </xf>
    <xf numFmtId="164" fontId="24" fillId="0" borderId="15" xfId="1" applyFont="1" applyBorder="1" applyAlignment="1">
      <alignment horizontal="right" vertical="center"/>
    </xf>
    <xf numFmtId="164" fontId="24" fillId="0" borderId="32" xfId="1" applyFont="1" applyBorder="1" applyAlignment="1">
      <alignment horizontal="right" vertical="center"/>
    </xf>
    <xf numFmtId="0" fontId="23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13" xfId="0" applyFont="1" applyFill="1" applyBorder="1" applyAlignment="1">
      <alignment horizontal="center" vertical="center"/>
    </xf>
    <xf numFmtId="165" fontId="23" fillId="0" borderId="14" xfId="1" applyNumberFormat="1" applyFont="1" applyBorder="1" applyAlignment="1">
      <alignment horizontal="center" vertical="center"/>
    </xf>
    <xf numFmtId="0" fontId="9" fillId="12" borderId="19" xfId="0" applyFont="1" applyFill="1" applyBorder="1" applyAlignment="1">
      <alignment horizontal="left" vertical="center"/>
    </xf>
    <xf numFmtId="164" fontId="24" fillId="12" borderId="15" xfId="1" applyFont="1" applyFill="1" applyBorder="1" applyAlignment="1">
      <alignment horizontal="right" vertical="center"/>
    </xf>
    <xf numFmtId="0" fontId="9" fillId="12" borderId="20" xfId="0" applyFont="1" applyFill="1" applyBorder="1" applyAlignment="1">
      <alignment horizontal="left" vertical="center"/>
    </xf>
    <xf numFmtId="164" fontId="24" fillId="12" borderId="32" xfId="1" applyFont="1" applyFill="1" applyBorder="1" applyAlignment="1">
      <alignment horizontal="right" vertical="center"/>
    </xf>
    <xf numFmtId="0" fontId="9" fillId="0" borderId="29" xfId="0" applyFont="1" applyBorder="1" applyAlignment="1"/>
    <xf numFmtId="0" fontId="24" fillId="0" borderId="19" xfId="0" applyFont="1" applyBorder="1" applyAlignment="1">
      <alignment horizontal="left"/>
    </xf>
    <xf numFmtId="0" fontId="24" fillId="0" borderId="15" xfId="0" applyFont="1" applyBorder="1" applyAlignment="1">
      <alignment horizontal="left"/>
    </xf>
    <xf numFmtId="0" fontId="0" fillId="0" borderId="19" xfId="0" applyBorder="1" applyAlignment="1">
      <alignment horizontal="center" vertical="center" wrapText="1"/>
    </xf>
    <xf numFmtId="0" fontId="23" fillId="0" borderId="15" xfId="0" applyFont="1" applyFill="1" applyBorder="1" applyAlignment="1">
      <alignment horizontal="left" vertical="center" wrapText="1"/>
    </xf>
    <xf numFmtId="0" fontId="23" fillId="0" borderId="19" xfId="0" applyFont="1" applyFill="1" applyBorder="1" applyAlignment="1">
      <alignment horizontal="left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5" fillId="0" borderId="13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0" fillId="0" borderId="40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16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 vertical="center" wrapText="1"/>
    </xf>
    <xf numFmtId="165" fontId="9" fillId="0" borderId="0" xfId="1" applyNumberFormat="1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wrapText="1"/>
    </xf>
    <xf numFmtId="0" fontId="9" fillId="0" borderId="0" xfId="0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center" wrapText="1"/>
    </xf>
    <xf numFmtId="0" fontId="9" fillId="0" borderId="0" xfId="0" applyFont="1" applyFill="1" applyBorder="1"/>
    <xf numFmtId="165" fontId="9" fillId="0" borderId="0" xfId="1" applyNumberFormat="1" applyFont="1" applyFill="1" applyBorder="1" applyAlignment="1"/>
    <xf numFmtId="164" fontId="9" fillId="0" borderId="0" xfId="0" applyNumberFormat="1" applyFont="1" applyFill="1" applyBorder="1" applyAlignment="1">
      <alignment vertical="center"/>
    </xf>
    <xf numFmtId="164" fontId="9" fillId="0" borderId="0" xfId="0" applyNumberFormat="1" applyFont="1" applyFill="1" applyBorder="1"/>
    <xf numFmtId="43" fontId="9" fillId="0" borderId="0" xfId="1" applyNumberFormat="1" applyFont="1" applyFill="1" applyBorder="1" applyAlignment="1">
      <alignment vertical="center"/>
    </xf>
    <xf numFmtId="164" fontId="24" fillId="0" borderId="0" xfId="1" applyFont="1" applyFill="1" applyBorder="1" applyAlignment="1">
      <alignment vertical="center" wrapText="1"/>
    </xf>
    <xf numFmtId="166" fontId="24" fillId="0" borderId="0" xfId="1" applyNumberFormat="1" applyFont="1" applyFill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/>
    </xf>
    <xf numFmtId="0" fontId="9" fillId="0" borderId="22" xfId="0" applyFont="1" applyBorder="1" applyAlignment="1"/>
    <xf numFmtId="0" fontId="20" fillId="0" borderId="15" xfId="0" applyFont="1" applyBorder="1" applyAlignment="1"/>
    <xf numFmtId="0" fontId="27" fillId="0" borderId="15" xfId="0" applyFont="1" applyBorder="1" applyAlignment="1">
      <alignment horizontal="left" vertical="center" wrapText="1"/>
    </xf>
    <xf numFmtId="164" fontId="0" fillId="0" borderId="32" xfId="1" applyFont="1" applyBorder="1" applyAlignment="1"/>
    <xf numFmtId="0" fontId="23" fillId="0" borderId="15" xfId="0" applyFont="1" applyFill="1" applyBorder="1" applyAlignment="1">
      <alignment horizontal="left" vertical="center"/>
    </xf>
    <xf numFmtId="0" fontId="7" fillId="5" borderId="9" xfId="0" applyFont="1" applyFill="1" applyBorder="1" applyAlignment="1">
      <alignment horizontal="center" vertical="center" wrapText="1"/>
    </xf>
    <xf numFmtId="0" fontId="23" fillId="0" borderId="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 wrapText="1"/>
    </xf>
    <xf numFmtId="0" fontId="9" fillId="5" borderId="41" xfId="0" applyFont="1" applyFill="1" applyBorder="1" applyAlignment="1">
      <alignment horizontal="center" vertical="center" wrapText="1"/>
    </xf>
    <xf numFmtId="0" fontId="28" fillId="5" borderId="3" xfId="0" applyFont="1" applyFill="1" applyBorder="1" applyAlignment="1">
      <alignment horizontal="center" vertical="center" wrapText="1"/>
    </xf>
    <xf numFmtId="0" fontId="1" fillId="0" borderId="0" xfId="9"/>
    <xf numFmtId="0" fontId="1" fillId="0" borderId="0" xfId="9" applyAlignment="1"/>
    <xf numFmtId="0" fontId="1" fillId="11" borderId="0" xfId="9" applyFill="1"/>
    <xf numFmtId="0" fontId="9" fillId="14" borderId="23" xfId="9" applyFont="1" applyFill="1" applyBorder="1" applyAlignment="1">
      <alignment horizontal="center" vertical="center" wrapText="1"/>
    </xf>
    <xf numFmtId="0" fontId="9" fillId="14" borderId="24" xfId="9" applyFont="1" applyFill="1" applyBorder="1" applyAlignment="1">
      <alignment horizontal="center" vertical="center" wrapText="1"/>
    </xf>
    <xf numFmtId="0" fontId="9" fillId="14" borderId="5" xfId="9" applyFont="1" applyFill="1" applyBorder="1" applyAlignment="1">
      <alignment horizontal="center" vertical="center" wrapText="1"/>
    </xf>
    <xf numFmtId="0" fontId="9" fillId="14" borderId="24" xfId="9" applyFont="1" applyFill="1" applyBorder="1" applyAlignment="1">
      <alignment horizontal="center" vertical="center"/>
    </xf>
    <xf numFmtId="0" fontId="9" fillId="11" borderId="24" xfId="9" applyFont="1" applyFill="1" applyBorder="1" applyAlignment="1">
      <alignment horizontal="center" vertical="center" wrapText="1"/>
    </xf>
    <xf numFmtId="0" fontId="23" fillId="14" borderId="24" xfId="9" applyFont="1" applyFill="1" applyBorder="1" applyAlignment="1">
      <alignment horizontal="center" vertical="center" wrapText="1"/>
    </xf>
    <xf numFmtId="0" fontId="23" fillId="14" borderId="25" xfId="9" applyFont="1" applyFill="1" applyBorder="1" applyAlignment="1">
      <alignment horizontal="center" vertical="center" wrapText="1"/>
    </xf>
    <xf numFmtId="0" fontId="1" fillId="0" borderId="0" xfId="9" applyAlignment="1">
      <alignment horizontal="center" vertical="center" wrapText="1"/>
    </xf>
    <xf numFmtId="0" fontId="9" fillId="14" borderId="17" xfId="9" applyFont="1" applyFill="1" applyBorder="1" applyAlignment="1">
      <alignment horizontal="center" vertical="center" wrapText="1"/>
    </xf>
    <xf numFmtId="0" fontId="9" fillId="14" borderId="4" xfId="9" applyFont="1" applyFill="1" applyBorder="1" applyAlignment="1">
      <alignment horizontal="center" vertical="center" wrapText="1"/>
    </xf>
    <xf numFmtId="0" fontId="1" fillId="14" borderId="4" xfId="9" applyFont="1" applyFill="1" applyBorder="1" applyAlignment="1">
      <alignment horizontal="center" vertical="center"/>
    </xf>
    <xf numFmtId="0" fontId="9" fillId="11" borderId="4" xfId="9" applyFont="1" applyFill="1" applyBorder="1" applyAlignment="1">
      <alignment horizontal="center" vertical="center" wrapText="1"/>
    </xf>
    <xf numFmtId="0" fontId="23" fillId="14" borderId="4" xfId="9" applyFont="1" applyFill="1" applyBorder="1" applyAlignment="1">
      <alignment horizontal="center" vertical="center" wrapText="1"/>
    </xf>
    <xf numFmtId="0" fontId="23" fillId="14" borderId="18" xfId="9" applyFont="1" applyFill="1" applyBorder="1" applyAlignment="1">
      <alignment horizontal="center" vertical="center" wrapText="1"/>
    </xf>
    <xf numFmtId="0" fontId="9" fillId="14" borderId="18" xfId="9" applyFont="1" applyFill="1" applyBorder="1" applyAlignment="1">
      <alignment horizontal="center" vertical="center" wrapText="1"/>
    </xf>
    <xf numFmtId="0" fontId="24" fillId="14" borderId="4" xfId="9" applyFont="1" applyFill="1" applyBorder="1" applyAlignment="1">
      <alignment horizontal="center" vertical="center" wrapText="1"/>
    </xf>
    <xf numFmtId="0" fontId="1" fillId="14" borderId="17" xfId="9" applyFill="1" applyBorder="1" applyAlignment="1">
      <alignment horizontal="center" vertical="center" wrapText="1"/>
    </xf>
    <xf numFmtId="0" fontId="1" fillId="14" borderId="4" xfId="9" applyFill="1" applyBorder="1" applyAlignment="1">
      <alignment horizontal="center" vertical="center" wrapText="1"/>
    </xf>
    <xf numFmtId="0" fontId="1" fillId="14" borderId="4" xfId="9" applyFont="1" applyFill="1" applyBorder="1" applyAlignment="1">
      <alignment horizontal="center" vertical="center" wrapText="1"/>
    </xf>
    <xf numFmtId="0" fontId="1" fillId="11" borderId="4" xfId="9" applyFill="1" applyBorder="1" applyAlignment="1">
      <alignment horizontal="center" vertical="center" wrapText="1"/>
    </xf>
    <xf numFmtId="43" fontId="24" fillId="14" borderId="4" xfId="12" applyFont="1" applyFill="1" applyBorder="1" applyAlignment="1">
      <alignment horizontal="center" vertical="center" wrapText="1"/>
    </xf>
    <xf numFmtId="0" fontId="19" fillId="14" borderId="4" xfId="9" applyFont="1" applyFill="1" applyBorder="1" applyAlignment="1">
      <alignment horizontal="center" vertical="center" wrapText="1"/>
    </xf>
    <xf numFmtId="0" fontId="1" fillId="14" borderId="28" xfId="9" applyFill="1" applyBorder="1" applyAlignment="1">
      <alignment horizontal="center" vertical="center" wrapText="1"/>
    </xf>
    <xf numFmtId="0" fontId="1" fillId="14" borderId="27" xfId="9" applyFill="1" applyBorder="1" applyAlignment="1">
      <alignment horizontal="center" vertical="center" wrapText="1"/>
    </xf>
    <xf numFmtId="0" fontId="1" fillId="14" borderId="27" xfId="9" applyFont="1" applyFill="1" applyBorder="1" applyAlignment="1">
      <alignment horizontal="center" vertical="center" wrapText="1"/>
    </xf>
    <xf numFmtId="0" fontId="1" fillId="14" borderId="27" xfId="9" applyFont="1" applyFill="1" applyBorder="1" applyAlignment="1">
      <alignment horizontal="center" vertical="center"/>
    </xf>
    <xf numFmtId="0" fontId="1" fillId="11" borderId="27" xfId="9" applyFill="1" applyBorder="1" applyAlignment="1">
      <alignment horizontal="center" vertical="center" wrapText="1"/>
    </xf>
    <xf numFmtId="0" fontId="23" fillId="14" borderId="27" xfId="9" applyFont="1" applyFill="1" applyBorder="1" applyAlignment="1">
      <alignment horizontal="center" vertical="center" wrapText="1"/>
    </xf>
    <xf numFmtId="43" fontId="9" fillId="14" borderId="27" xfId="12" applyFont="1" applyFill="1" applyBorder="1" applyAlignment="1">
      <alignment horizontal="center" vertical="center" wrapText="1"/>
    </xf>
    <xf numFmtId="43" fontId="9" fillId="14" borderId="21" xfId="12" applyFont="1" applyFill="1" applyBorder="1" applyAlignment="1">
      <alignment horizontal="center" vertical="center" wrapText="1"/>
    </xf>
    <xf numFmtId="0" fontId="7" fillId="5" borderId="9" xfId="9" applyFont="1" applyFill="1" applyBorder="1" applyAlignment="1">
      <alignment horizontal="center" vertical="top" textRotation="180"/>
    </xf>
    <xf numFmtId="0" fontId="7" fillId="5" borderId="3" xfId="9" applyFont="1" applyFill="1" applyBorder="1" applyAlignment="1">
      <alignment horizontal="center" vertical="top" textRotation="180"/>
    </xf>
    <xf numFmtId="0" fontId="7" fillId="6" borderId="3" xfId="9" applyFont="1" applyFill="1" applyBorder="1" applyAlignment="1">
      <alignment horizontal="center" vertical="top" textRotation="180"/>
    </xf>
    <xf numFmtId="0" fontId="7" fillId="5" borderId="10" xfId="9" applyFont="1" applyFill="1" applyBorder="1" applyAlignment="1">
      <alignment horizontal="center" vertical="top" textRotation="180"/>
    </xf>
    <xf numFmtId="0" fontId="9" fillId="5" borderId="10" xfId="9" applyFont="1" applyFill="1" applyBorder="1" applyAlignment="1">
      <alignment horizontal="center" vertical="top" textRotation="180"/>
    </xf>
    <xf numFmtId="0" fontId="9" fillId="5" borderId="3" xfId="9" applyFont="1" applyFill="1" applyBorder="1" applyAlignment="1">
      <alignment horizontal="center" vertical="top" textRotation="180"/>
    </xf>
    <xf numFmtId="0" fontId="7" fillId="11" borderId="3" xfId="9" applyFont="1" applyFill="1" applyBorder="1" applyAlignment="1">
      <alignment horizontal="center" vertical="top" textRotation="180"/>
    </xf>
    <xf numFmtId="0" fontId="10" fillId="2" borderId="3" xfId="10" applyFont="1" applyBorder="1" applyAlignment="1">
      <alignment horizontal="center" vertical="top" textRotation="180" wrapText="1"/>
    </xf>
    <xf numFmtId="0" fontId="11" fillId="4" borderId="42" xfId="11" applyFont="1" applyBorder="1" applyAlignment="1">
      <alignment horizontal="center" vertical="top" textRotation="180" wrapText="1"/>
    </xf>
    <xf numFmtId="0" fontId="11" fillId="4" borderId="43" xfId="11" applyFont="1" applyBorder="1" applyAlignment="1">
      <alignment horizontal="center" vertical="top" textRotation="180" wrapText="1"/>
    </xf>
    <xf numFmtId="0" fontId="11" fillId="4" borderId="3" xfId="11" applyFont="1" applyBorder="1" applyAlignment="1">
      <alignment horizontal="center" vertical="top" textRotation="180" wrapText="1"/>
    </xf>
    <xf numFmtId="0" fontId="11" fillId="4" borderId="44" xfId="11" applyFont="1" applyBorder="1" applyAlignment="1">
      <alignment horizontal="center" vertical="top" textRotation="180" wrapText="1"/>
    </xf>
    <xf numFmtId="0" fontId="1" fillId="0" borderId="0" xfId="9" applyAlignment="1">
      <alignment horizontal="center" vertical="top" textRotation="180"/>
    </xf>
    <xf numFmtId="0" fontId="4" fillId="3" borderId="0" xfId="3" applyBorder="1" applyAlignment="1">
      <alignment horizontal="center" wrapText="1"/>
    </xf>
    <xf numFmtId="0" fontId="15" fillId="7" borderId="13" xfId="0" applyFont="1" applyFill="1" applyBorder="1" applyAlignment="1">
      <alignment horizontal="center" vertical="center" wrapText="1"/>
    </xf>
    <xf numFmtId="0" fontId="15" fillId="7" borderId="16" xfId="0" applyFont="1" applyFill="1" applyBorder="1" applyAlignment="1">
      <alignment horizontal="center" vertical="center" wrapText="1"/>
    </xf>
    <xf numFmtId="0" fontId="15" fillId="7" borderId="14" xfId="0" applyFont="1" applyFill="1" applyBorder="1" applyAlignment="1">
      <alignment horizontal="center" vertical="center" wrapText="1"/>
    </xf>
    <xf numFmtId="0" fontId="15" fillId="7" borderId="23" xfId="0" applyFont="1" applyFill="1" applyBorder="1" applyAlignment="1">
      <alignment horizontal="center" vertical="center" wrapText="1"/>
    </xf>
    <xf numFmtId="0" fontId="15" fillId="7" borderId="24" xfId="0" applyFont="1" applyFill="1" applyBorder="1" applyAlignment="1">
      <alignment horizontal="center" vertical="center" wrapText="1"/>
    </xf>
    <xf numFmtId="0" fontId="15" fillId="7" borderId="23" xfId="0" applyFont="1" applyFill="1" applyBorder="1" applyAlignment="1">
      <alignment horizontal="center" vertical="center"/>
    </xf>
    <xf numFmtId="0" fontId="15" fillId="7" borderId="24" xfId="0" applyFont="1" applyFill="1" applyBorder="1" applyAlignment="1">
      <alignment horizontal="center" vertical="center"/>
    </xf>
    <xf numFmtId="0" fontId="15" fillId="7" borderId="25" xfId="0" applyFont="1" applyFill="1" applyBorder="1" applyAlignment="1">
      <alignment horizontal="center" vertical="center"/>
    </xf>
    <xf numFmtId="0" fontId="15" fillId="7" borderId="25" xfId="0" applyFont="1" applyFill="1" applyBorder="1" applyAlignment="1">
      <alignment horizontal="center" vertical="center" wrapText="1"/>
    </xf>
    <xf numFmtId="0" fontId="15" fillId="7" borderId="34" xfId="0" applyFont="1" applyFill="1" applyBorder="1" applyAlignment="1">
      <alignment horizontal="center" vertical="center"/>
    </xf>
    <xf numFmtId="0" fontId="15" fillId="7" borderId="35" xfId="0" applyFont="1" applyFill="1" applyBorder="1" applyAlignment="1">
      <alignment horizontal="center" vertical="center"/>
    </xf>
    <xf numFmtId="0" fontId="15" fillId="7" borderId="36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0" borderId="0" xfId="9" applyAlignment="1">
      <alignment horizontal="center" vertical="center" wrapText="1"/>
    </xf>
    <xf numFmtId="0" fontId="1" fillId="0" borderId="33" xfId="9" applyBorder="1" applyAlignment="1">
      <alignment horizontal="center" vertical="center" wrapText="1"/>
    </xf>
  </cellXfs>
  <cellStyles count="13">
    <cellStyle name="Calculation" xfId="4" builtinId="22"/>
    <cellStyle name="Calculation 2" xfId="11"/>
    <cellStyle name="Comma" xfId="1" builtinId="3"/>
    <cellStyle name="Comma 2" xfId="12"/>
    <cellStyle name="Followed Hyperlink" xfId="6" builtinId="9" hidden="1"/>
    <cellStyle name="Followed Hyperlink" xfId="8" builtinId="9" hidden="1"/>
    <cellStyle name="Good" xfId="2" builtinId="26"/>
    <cellStyle name="Good 2" xfId="10"/>
    <cellStyle name="Hyperlink" xfId="5" builtinId="8" hidden="1"/>
    <cellStyle name="Hyperlink" xfId="7" builtinId="8" hidden="1"/>
    <cellStyle name="Neutral" xfId="3" builtinId="28"/>
    <cellStyle name="Normal" xfId="0" builtinId="0"/>
    <cellStyle name="Normal 2" xfId="9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0</xdr:row>
          <xdr:rowOff>38100</xdr:rowOff>
        </xdr:from>
        <xdr:to>
          <xdr:col>13</xdr:col>
          <xdr:colOff>152400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urrentWork/Corrected%20Swags-4-14-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mall"/>
      <sheetName val="Medium"/>
      <sheetName val="Large"/>
      <sheetName val="Form Resources"/>
      <sheetName val="Charts"/>
      <sheetName val="Corrections"/>
      <sheetName val="Corrected Swags-4-14-2016"/>
    </sheetNames>
    <definedNames>
      <definedName name="Button1_Click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B39"/>
  <sheetViews>
    <sheetView zoomScaleNormal="100" zoomScalePageLayoutView="220" workbookViewId="0">
      <selection activeCell="A4" sqref="A4"/>
    </sheetView>
  </sheetViews>
  <sheetFormatPr defaultColWidth="8.875" defaultRowHeight="15.75"/>
  <cols>
    <col min="1" max="1" width="8.875" style="3" customWidth="1"/>
    <col min="2" max="7" width="7.375" style="3" bestFit="1" customWidth="1"/>
    <col min="8" max="8" width="8.5" style="3" customWidth="1"/>
    <col min="9" max="9" width="10.375" style="3" customWidth="1"/>
    <col min="10" max="10" width="12.875" style="3" customWidth="1"/>
    <col min="11" max="11" width="7.375" style="3" customWidth="1"/>
    <col min="12" max="12" width="5.625" style="3" customWidth="1"/>
    <col min="13" max="13" width="6" style="3" customWidth="1"/>
    <col min="14" max="25" width="5.625" style="3" customWidth="1"/>
    <col min="26" max="27" width="8.375" style="3" customWidth="1"/>
    <col min="28" max="28" width="4.625" style="3" customWidth="1"/>
    <col min="29" max="29" width="7.625" style="3" customWidth="1"/>
    <col min="30" max="30" width="6" style="3" customWidth="1"/>
    <col min="31" max="31" width="3.625" style="3" customWidth="1"/>
    <col min="32" max="32" width="5.875" style="3" customWidth="1"/>
    <col min="33" max="33" width="5.375" style="3" customWidth="1"/>
    <col min="34" max="34" width="8.875" style="3"/>
    <col min="35" max="35" width="3.5" style="3" customWidth="1"/>
    <col min="36" max="36" width="9" style="3" customWidth="1"/>
    <col min="37" max="37" width="8.875" style="3"/>
    <col min="38" max="38" width="10" style="3" customWidth="1"/>
    <col min="39" max="39" width="8.875" style="3"/>
    <col min="40" max="40" width="14.5" style="3" customWidth="1"/>
    <col min="41" max="41" width="6.875" style="3" bestFit="1" customWidth="1"/>
    <col min="42" max="42" width="2.125" style="3" customWidth="1"/>
    <col min="43" max="43" width="21.5" style="3" customWidth="1"/>
    <col min="44" max="44" width="6.875" style="3" bestFit="1" customWidth="1"/>
    <col min="45" max="45" width="1" style="3" customWidth="1"/>
    <col min="46" max="46" width="23.125" style="3" customWidth="1"/>
    <col min="47" max="47" width="5.875" style="3" bestFit="1" customWidth="1"/>
    <col min="48" max="48" width="1.125" style="3" customWidth="1"/>
    <col min="49" max="49" width="19" style="3" customWidth="1"/>
    <col min="50" max="50" width="6.875" style="3" bestFit="1" customWidth="1"/>
    <col min="51" max="51" width="1.875" style="3" customWidth="1"/>
    <col min="52" max="52" width="20.5" style="3" customWidth="1"/>
    <col min="53" max="53" width="5" style="3" bestFit="1" customWidth="1"/>
    <col min="54" max="54" width="2.125" style="3" customWidth="1"/>
    <col min="55" max="55" width="23.875" style="3" customWidth="1"/>
    <col min="56" max="56" width="5" style="3" bestFit="1" customWidth="1"/>
    <col min="57" max="57" width="1.875" style="3" customWidth="1"/>
    <col min="58" max="58" width="15.125" style="3" customWidth="1"/>
    <col min="59" max="59" width="5" style="3" bestFit="1" customWidth="1"/>
    <col min="60" max="60" width="1.875" style="3" customWidth="1"/>
    <col min="61" max="61" width="22.125" style="3" customWidth="1"/>
    <col min="62" max="62" width="6.875" style="3" customWidth="1"/>
    <col min="63" max="63" width="2" style="3" customWidth="1"/>
    <col min="64" max="64" width="21.375" style="3" customWidth="1"/>
    <col min="65" max="65" width="5" style="3" bestFit="1" customWidth="1"/>
    <col min="66" max="66" width="1" style="3" customWidth="1"/>
    <col min="67" max="67" width="12" style="3" customWidth="1"/>
    <col min="68" max="68" width="4.125" style="3" bestFit="1" customWidth="1"/>
    <col min="69" max="69" width="1.875" style="3" customWidth="1"/>
    <col min="70" max="70" width="8.875" style="3"/>
    <col min="71" max="71" width="5" style="3" bestFit="1" customWidth="1"/>
    <col min="72" max="72" width="1.375" style="3" customWidth="1"/>
    <col min="73" max="73" width="8.875" style="3"/>
    <col min="74" max="74" width="5.625" style="3" bestFit="1" customWidth="1"/>
    <col min="75" max="75" width="2.5" style="3" customWidth="1"/>
    <col min="76" max="76" width="11.375" style="3" customWidth="1"/>
    <col min="77" max="77" width="4.125" style="3" bestFit="1" customWidth="1"/>
    <col min="78" max="78" width="2" style="3" customWidth="1"/>
    <col min="79" max="79" width="8.875" style="3"/>
    <col min="80" max="80" width="4.125" style="3" bestFit="1" customWidth="1"/>
    <col min="81" max="16384" width="8.875" style="3"/>
  </cols>
  <sheetData>
    <row r="1" spans="1:80" s="5" customFormat="1">
      <c r="A1" s="294"/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  <c r="V1" s="294"/>
      <c r="W1" s="294"/>
      <c r="X1" s="294"/>
      <c r="Y1" s="294"/>
      <c r="Z1" s="294"/>
      <c r="AA1" s="294"/>
      <c r="AB1" s="294"/>
      <c r="AC1" s="294"/>
      <c r="AD1" s="294"/>
      <c r="AE1" s="294"/>
      <c r="AF1" s="294"/>
      <c r="AG1" s="294"/>
      <c r="AH1" s="294"/>
      <c r="AI1" s="294"/>
      <c r="AJ1" s="294"/>
      <c r="AK1" s="294"/>
      <c r="AL1" s="294"/>
      <c r="AM1" s="294"/>
      <c r="AN1" s="294"/>
      <c r="AO1" s="294"/>
      <c r="AP1" s="294"/>
      <c r="AQ1" s="294"/>
      <c r="AR1" s="294"/>
      <c r="AS1" s="294"/>
      <c r="AT1" s="294"/>
      <c r="AU1" s="294"/>
      <c r="AV1" s="294"/>
      <c r="AW1" s="294"/>
      <c r="AX1" s="294"/>
      <c r="AY1" s="294"/>
      <c r="AZ1" s="294"/>
      <c r="BA1" s="294"/>
      <c r="BB1" s="294"/>
      <c r="BC1" s="294"/>
      <c r="BD1" s="294"/>
      <c r="BE1" s="294"/>
      <c r="BF1" s="294"/>
      <c r="BG1" s="294"/>
      <c r="BH1" s="294"/>
      <c r="BI1" s="294"/>
      <c r="BJ1" s="294"/>
      <c r="BK1" s="294"/>
      <c r="BL1" s="294"/>
      <c r="BM1" s="294"/>
      <c r="BN1" s="294"/>
      <c r="BO1" s="294"/>
      <c r="BP1" s="294"/>
      <c r="BQ1" s="294"/>
      <c r="BR1" s="294"/>
      <c r="BS1" s="294"/>
      <c r="BT1" s="294"/>
      <c r="BU1" s="294"/>
      <c r="BV1" s="294"/>
      <c r="BW1" s="294"/>
      <c r="BX1" s="294"/>
      <c r="BY1" s="294"/>
      <c r="BZ1" s="294"/>
      <c r="CA1" s="294"/>
      <c r="CB1" s="294"/>
    </row>
    <row r="2" spans="1:80" s="10" customFormat="1" ht="22.5">
      <c r="A2" s="11" t="s">
        <v>0</v>
      </c>
      <c r="B2" s="11" t="s">
        <v>0</v>
      </c>
      <c r="C2" s="11" t="s">
        <v>0</v>
      </c>
      <c r="D2" s="11" t="s">
        <v>0</v>
      </c>
      <c r="E2" s="11" t="s">
        <v>0</v>
      </c>
      <c r="F2" s="11" t="s">
        <v>0</v>
      </c>
      <c r="G2" s="11" t="s">
        <v>0</v>
      </c>
      <c r="H2" s="11"/>
      <c r="I2" s="11" t="s">
        <v>0</v>
      </c>
      <c r="J2" s="11" t="s">
        <v>0</v>
      </c>
      <c r="K2" s="11" t="s">
        <v>0</v>
      </c>
      <c r="L2" s="11" t="s">
        <v>0</v>
      </c>
      <c r="M2" s="11" t="s">
        <v>0</v>
      </c>
      <c r="N2" s="11" t="s">
        <v>0</v>
      </c>
      <c r="O2" s="11" t="s">
        <v>0</v>
      </c>
      <c r="P2" s="11" t="s">
        <v>0</v>
      </c>
      <c r="Q2" s="11" t="s">
        <v>0</v>
      </c>
      <c r="R2" s="11" t="s">
        <v>0</v>
      </c>
      <c r="S2" s="11" t="s">
        <v>0</v>
      </c>
      <c r="T2" s="11" t="s">
        <v>0</v>
      </c>
      <c r="U2" s="11" t="s">
        <v>0</v>
      </c>
      <c r="V2" s="11" t="s">
        <v>0</v>
      </c>
      <c r="W2" s="11" t="s">
        <v>0</v>
      </c>
      <c r="X2" s="11" t="s">
        <v>0</v>
      </c>
      <c r="Y2" s="11" t="s">
        <v>0</v>
      </c>
      <c r="Z2" s="11" t="s">
        <v>20</v>
      </c>
      <c r="AA2" s="11"/>
      <c r="AB2" s="11" t="s">
        <v>20</v>
      </c>
      <c r="AC2" s="11" t="s">
        <v>20</v>
      </c>
      <c r="AD2" s="11" t="s">
        <v>20</v>
      </c>
      <c r="AE2" s="11" t="s">
        <v>20</v>
      </c>
      <c r="AF2" s="11" t="s">
        <v>20</v>
      </c>
      <c r="AG2" s="11" t="s">
        <v>20</v>
      </c>
      <c r="AH2" s="12" t="s">
        <v>21</v>
      </c>
      <c r="AI2" s="12"/>
      <c r="AJ2" s="12" t="s">
        <v>21</v>
      </c>
      <c r="AK2" s="12" t="s">
        <v>21</v>
      </c>
      <c r="AL2" s="12" t="s">
        <v>21</v>
      </c>
      <c r="AM2" s="12" t="s">
        <v>21</v>
      </c>
      <c r="AN2" s="12" t="s">
        <v>21</v>
      </c>
      <c r="AO2" s="12"/>
      <c r="AP2" s="12"/>
      <c r="AQ2" s="12" t="s">
        <v>21</v>
      </c>
      <c r="AR2" s="12"/>
      <c r="AS2" s="12"/>
      <c r="AT2" s="13" t="s">
        <v>21</v>
      </c>
      <c r="AU2" s="12"/>
      <c r="AV2" s="12"/>
      <c r="AW2" s="13" t="s">
        <v>21</v>
      </c>
      <c r="AX2" s="12"/>
      <c r="AY2" s="12"/>
      <c r="AZ2" s="13" t="s">
        <v>21</v>
      </c>
      <c r="BA2" s="14"/>
      <c r="BB2" s="12"/>
      <c r="BC2" s="13" t="s">
        <v>21</v>
      </c>
      <c r="BD2" s="12"/>
      <c r="BE2" s="12"/>
      <c r="BF2" s="13" t="s">
        <v>21</v>
      </c>
      <c r="BG2" s="12"/>
      <c r="BH2" s="12"/>
      <c r="BI2" s="13" t="s">
        <v>21</v>
      </c>
      <c r="BJ2" s="12"/>
      <c r="BK2" s="12"/>
      <c r="BL2" s="13" t="s">
        <v>21</v>
      </c>
      <c r="BM2" s="12"/>
      <c r="BN2" s="12"/>
      <c r="BO2" s="13" t="s">
        <v>21</v>
      </c>
      <c r="BP2" s="13"/>
      <c r="BQ2" s="13"/>
      <c r="BR2" s="13" t="s">
        <v>21</v>
      </c>
      <c r="BS2" s="13"/>
      <c r="BT2" s="13"/>
      <c r="BU2" s="10" t="s">
        <v>21</v>
      </c>
      <c r="BX2" s="10" t="s">
        <v>21</v>
      </c>
      <c r="CA2" s="10" t="s">
        <v>21</v>
      </c>
    </row>
    <row r="3" spans="1:80" s="10" customFormat="1" ht="12" thickBot="1">
      <c r="A3" s="11" t="s">
        <v>22</v>
      </c>
      <c r="B3" s="11" t="s">
        <v>22</v>
      </c>
      <c r="C3" s="11" t="s">
        <v>22</v>
      </c>
      <c r="D3" s="11" t="s">
        <v>22</v>
      </c>
      <c r="E3" s="11" t="s">
        <v>22</v>
      </c>
      <c r="F3" s="11" t="s">
        <v>22</v>
      </c>
      <c r="G3" s="11" t="s">
        <v>22</v>
      </c>
      <c r="H3" s="11" t="s">
        <v>22</v>
      </c>
      <c r="I3" s="15" t="s">
        <v>23</v>
      </c>
      <c r="J3" s="15" t="s">
        <v>23</v>
      </c>
      <c r="K3" s="15" t="s">
        <v>23</v>
      </c>
      <c r="L3" s="16" t="s">
        <v>24</v>
      </c>
      <c r="M3" s="16" t="s">
        <v>24</v>
      </c>
      <c r="N3" s="16" t="s">
        <v>24</v>
      </c>
      <c r="O3" s="16" t="s">
        <v>24</v>
      </c>
      <c r="P3" s="16" t="s">
        <v>24</v>
      </c>
      <c r="Q3" s="16" t="s">
        <v>24</v>
      </c>
      <c r="R3" s="16" t="s">
        <v>24</v>
      </c>
      <c r="S3" s="16" t="s">
        <v>24</v>
      </c>
      <c r="T3" s="16" t="s">
        <v>24</v>
      </c>
      <c r="U3" s="16" t="s">
        <v>24</v>
      </c>
      <c r="V3" s="16" t="s">
        <v>24</v>
      </c>
      <c r="W3" s="16" t="s">
        <v>24</v>
      </c>
      <c r="X3" s="16" t="s">
        <v>24</v>
      </c>
      <c r="Y3" s="16" t="s">
        <v>24</v>
      </c>
      <c r="Z3" s="11"/>
      <c r="AA3" s="11"/>
      <c r="AB3" s="11"/>
      <c r="AC3" s="11"/>
      <c r="AD3" s="11"/>
      <c r="AE3" s="11"/>
      <c r="AF3" s="11"/>
      <c r="AG3" s="11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3"/>
      <c r="AU3" s="12"/>
      <c r="AV3" s="12"/>
      <c r="AW3" s="13"/>
      <c r="AX3" s="12"/>
      <c r="AY3" s="12"/>
      <c r="AZ3" s="13"/>
      <c r="BA3" s="14"/>
      <c r="BB3" s="12"/>
      <c r="BC3" s="13"/>
      <c r="BD3" s="12"/>
      <c r="BE3" s="12"/>
      <c r="BF3" s="13"/>
      <c r="BG3" s="12"/>
      <c r="BH3" s="12"/>
      <c r="BI3" s="13"/>
      <c r="BJ3" s="12"/>
      <c r="BK3" s="12"/>
      <c r="BL3" s="13"/>
      <c r="BM3" s="12"/>
      <c r="BN3" s="12"/>
      <c r="BO3" s="13"/>
      <c r="BP3" s="13"/>
      <c r="BQ3" s="13"/>
      <c r="BR3" s="13"/>
      <c r="BS3" s="13"/>
      <c r="BT3" s="13"/>
    </row>
    <row r="4" spans="1:80" s="5" customFormat="1" ht="186" customHeight="1" thickBot="1">
      <c r="A4" s="4" t="s">
        <v>1</v>
      </c>
      <c r="B4" s="4" t="s">
        <v>2</v>
      </c>
      <c r="C4" s="17" t="s">
        <v>25</v>
      </c>
      <c r="D4" s="17" t="s">
        <v>26</v>
      </c>
      <c r="E4" s="4" t="s">
        <v>9</v>
      </c>
      <c r="F4" s="4" t="s">
        <v>10</v>
      </c>
      <c r="G4" s="4" t="s">
        <v>11</v>
      </c>
      <c r="H4" s="153" t="s">
        <v>241</v>
      </c>
      <c r="I4" s="236" t="s">
        <v>239</v>
      </c>
      <c r="J4" s="19" t="s">
        <v>28</v>
      </c>
      <c r="K4" s="19" t="s">
        <v>29</v>
      </c>
      <c r="L4" s="20" t="s">
        <v>30</v>
      </c>
      <c r="M4" s="4" t="s">
        <v>31</v>
      </c>
      <c r="N4" s="20" t="s">
        <v>12</v>
      </c>
      <c r="O4" s="20" t="s">
        <v>13</v>
      </c>
      <c r="P4" s="4" t="s">
        <v>32</v>
      </c>
      <c r="Q4" s="4" t="s">
        <v>14</v>
      </c>
      <c r="R4" s="4" t="s">
        <v>15</v>
      </c>
      <c r="S4" s="4" t="s">
        <v>16</v>
      </c>
      <c r="T4" s="4" t="s">
        <v>33</v>
      </c>
      <c r="U4" s="4" t="s">
        <v>34</v>
      </c>
      <c r="V4" s="4" t="s">
        <v>35</v>
      </c>
      <c r="W4" s="4" t="s">
        <v>36</v>
      </c>
      <c r="X4" s="4" t="s">
        <v>37</v>
      </c>
      <c r="Y4" s="4" t="s">
        <v>3</v>
      </c>
      <c r="Z4" s="21" t="s">
        <v>191</v>
      </c>
      <c r="AA4" s="21" t="s">
        <v>192</v>
      </c>
      <c r="AB4" s="21" t="s">
        <v>38</v>
      </c>
      <c r="AC4" s="21" t="s">
        <v>39</v>
      </c>
      <c r="AD4" s="21" t="s">
        <v>40</v>
      </c>
      <c r="AE4" s="21" t="s">
        <v>41</v>
      </c>
      <c r="AF4" s="22" t="s">
        <v>42</v>
      </c>
      <c r="AG4" s="22" t="s">
        <v>43</v>
      </c>
      <c r="AH4" s="23" t="s">
        <v>240</v>
      </c>
      <c r="AI4" s="23"/>
      <c r="AJ4" s="24" t="s">
        <v>44</v>
      </c>
      <c r="AK4" s="24" t="s">
        <v>17</v>
      </c>
      <c r="AL4" s="25" t="s">
        <v>45</v>
      </c>
      <c r="AM4" s="25" t="s">
        <v>197</v>
      </c>
      <c r="AN4" s="26" t="s">
        <v>225</v>
      </c>
      <c r="AO4" s="26"/>
      <c r="AP4" s="26"/>
      <c r="AQ4" s="26" t="s">
        <v>226</v>
      </c>
      <c r="AR4" s="27"/>
      <c r="AS4" s="27"/>
      <c r="AT4" s="160" t="s">
        <v>227</v>
      </c>
      <c r="AU4" s="26"/>
      <c r="AV4" s="26"/>
      <c r="AW4" s="28" t="s">
        <v>228</v>
      </c>
      <c r="AX4" s="28"/>
      <c r="AY4" s="29"/>
      <c r="AZ4" s="26" t="s">
        <v>231</v>
      </c>
      <c r="BA4" s="30"/>
      <c r="BB4" s="29"/>
      <c r="BC4" s="28" t="s">
        <v>232</v>
      </c>
      <c r="BD4" s="26"/>
      <c r="BE4" s="31"/>
      <c r="BF4" s="26" t="s">
        <v>233</v>
      </c>
      <c r="BG4" s="26"/>
      <c r="BH4" s="26"/>
      <c r="BI4" s="26" t="s">
        <v>234</v>
      </c>
      <c r="BJ4" s="35"/>
      <c r="BK4" s="32"/>
      <c r="BL4" s="26" t="s">
        <v>236</v>
      </c>
      <c r="BM4" s="26"/>
      <c r="BN4" s="26"/>
      <c r="BO4" s="26" t="s">
        <v>238</v>
      </c>
      <c r="BP4" s="26"/>
      <c r="BQ4" s="26"/>
      <c r="BR4" s="26" t="s">
        <v>47</v>
      </c>
      <c r="BS4" s="26"/>
      <c r="BT4" s="31"/>
      <c r="BU4" s="33" t="s">
        <v>48</v>
      </c>
      <c r="BV4" s="33"/>
      <c r="BW4" s="34"/>
      <c r="BX4" s="33" t="s">
        <v>49</v>
      </c>
      <c r="BY4" s="33"/>
      <c r="BZ4" s="34"/>
      <c r="CA4" s="33" t="s">
        <v>50</v>
      </c>
      <c r="CB4" s="35"/>
    </row>
    <row r="5" spans="1:80" s="36" customFormat="1" ht="24.75">
      <c r="A5" s="37"/>
      <c r="B5" s="37"/>
      <c r="C5" s="37"/>
      <c r="D5" s="37"/>
      <c r="E5" s="37"/>
      <c r="F5" s="37"/>
      <c r="G5" s="37"/>
      <c r="H5" s="37"/>
      <c r="I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8"/>
      <c r="Z5" s="37"/>
      <c r="AA5" s="37"/>
      <c r="AB5" s="37"/>
      <c r="AC5" s="37"/>
      <c r="AD5" s="37"/>
      <c r="AE5" s="37"/>
      <c r="AF5" s="37"/>
      <c r="AG5" s="37"/>
      <c r="AH5" s="188" t="s">
        <v>18</v>
      </c>
      <c r="AI5" s="189"/>
      <c r="AJ5" s="237" t="s">
        <v>62</v>
      </c>
      <c r="AK5" s="237" t="s">
        <v>63</v>
      </c>
      <c r="AL5" s="237" t="s">
        <v>64</v>
      </c>
      <c r="AM5" s="238" t="s">
        <v>65</v>
      </c>
      <c r="AN5" s="42" t="s">
        <v>66</v>
      </c>
      <c r="AO5" s="43"/>
      <c r="AP5" s="44"/>
      <c r="AQ5" s="42" t="s">
        <v>66</v>
      </c>
      <c r="AR5" s="43"/>
      <c r="AT5" s="42" t="s">
        <v>66</v>
      </c>
      <c r="AU5" s="43"/>
      <c r="AV5" s="44"/>
      <c r="AW5" s="137" t="s">
        <v>66</v>
      </c>
      <c r="AX5" s="43"/>
      <c r="AY5" s="44"/>
      <c r="AZ5" s="191" t="s">
        <v>66</v>
      </c>
      <c r="BA5" s="192"/>
      <c r="BB5" s="44"/>
      <c r="BC5" s="188" t="s">
        <v>66</v>
      </c>
      <c r="BD5" s="189"/>
      <c r="BE5" s="44"/>
      <c r="BF5" s="191" t="s">
        <v>66</v>
      </c>
      <c r="BG5" s="40"/>
      <c r="BH5" s="44"/>
      <c r="BI5" s="188" t="s">
        <v>66</v>
      </c>
      <c r="BJ5" s="43"/>
      <c r="BL5" s="191" t="s">
        <v>66</v>
      </c>
      <c r="BM5" s="192"/>
      <c r="BN5" s="45"/>
      <c r="BO5" s="188" t="s">
        <v>66</v>
      </c>
      <c r="BP5" s="40"/>
      <c r="BQ5" s="99"/>
      <c r="BR5" s="188" t="s">
        <v>66</v>
      </c>
      <c r="BS5" s="189"/>
      <c r="BT5" s="190"/>
      <c r="BU5" s="188" t="s">
        <v>66</v>
      </c>
      <c r="BV5" s="189"/>
      <c r="BW5" s="190"/>
      <c r="BX5" s="188" t="s">
        <v>66</v>
      </c>
      <c r="BY5" s="189"/>
      <c r="BZ5" s="190"/>
      <c r="CA5" s="188" t="s">
        <v>66</v>
      </c>
      <c r="CB5" s="40"/>
    </row>
    <row r="6" spans="1:80" s="36" customFormat="1" ht="24.75">
      <c r="A6" s="37"/>
      <c r="B6" s="37"/>
      <c r="C6" s="37"/>
      <c r="D6" s="37"/>
      <c r="E6" s="37"/>
      <c r="F6" s="37"/>
      <c r="G6" s="37"/>
      <c r="H6" s="37"/>
      <c r="I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8"/>
      <c r="Z6" s="37"/>
      <c r="AA6" s="37"/>
      <c r="AB6" s="37"/>
      <c r="AC6" s="37"/>
      <c r="AD6" s="37"/>
      <c r="AE6" s="37"/>
      <c r="AF6" s="37"/>
      <c r="AG6" s="37"/>
      <c r="AH6" s="239" t="s">
        <v>67</v>
      </c>
      <c r="AI6" s="240">
        <v>100</v>
      </c>
      <c r="AJ6" s="237" t="s">
        <v>68</v>
      </c>
      <c r="AK6" s="237" t="s">
        <v>69</v>
      </c>
      <c r="AL6" s="237" t="s">
        <v>70</v>
      </c>
      <c r="AM6" s="238" t="s">
        <v>71</v>
      </c>
      <c r="AN6" s="172" t="s">
        <v>99</v>
      </c>
      <c r="AO6" s="179" t="s">
        <v>51</v>
      </c>
      <c r="AP6" s="49"/>
      <c r="AQ6" s="172" t="s">
        <v>99</v>
      </c>
      <c r="AR6" s="179" t="s">
        <v>51</v>
      </c>
      <c r="AT6" s="172" t="s">
        <v>99</v>
      </c>
      <c r="AU6" s="179" t="s">
        <v>51</v>
      </c>
      <c r="AV6" s="49"/>
      <c r="AW6" s="172" t="s">
        <v>99</v>
      </c>
      <c r="AX6" s="179" t="s">
        <v>51</v>
      </c>
      <c r="AY6" s="49"/>
      <c r="AZ6" s="172" t="s">
        <v>99</v>
      </c>
      <c r="BA6" s="179" t="s">
        <v>223</v>
      </c>
      <c r="BB6" s="49"/>
      <c r="BC6" s="172" t="s">
        <v>99</v>
      </c>
      <c r="BD6" s="179" t="s">
        <v>223</v>
      </c>
      <c r="BE6" s="50"/>
      <c r="BF6" s="172" t="s">
        <v>99</v>
      </c>
      <c r="BG6" s="179" t="s">
        <v>223</v>
      </c>
      <c r="BH6" s="49"/>
      <c r="BI6" s="172" t="s">
        <v>99</v>
      </c>
      <c r="BJ6" s="179" t="s">
        <v>223</v>
      </c>
      <c r="BL6" s="172" t="s">
        <v>99</v>
      </c>
      <c r="BM6" s="179" t="s">
        <v>223</v>
      </c>
      <c r="BN6" s="49"/>
      <c r="BO6" s="172" t="s">
        <v>99</v>
      </c>
      <c r="BP6" s="179" t="s">
        <v>223</v>
      </c>
      <c r="BQ6" s="105"/>
      <c r="BR6" s="169"/>
      <c r="BS6" s="168"/>
      <c r="BT6" s="230"/>
      <c r="BU6" s="169"/>
      <c r="BV6" s="168"/>
      <c r="BW6" s="230"/>
      <c r="BX6" s="169"/>
      <c r="BY6" s="168"/>
      <c r="BZ6" s="230"/>
      <c r="CA6" s="169"/>
      <c r="CB6" s="104"/>
    </row>
    <row r="7" spans="1:80" s="36" customFormat="1" ht="24.75">
      <c r="A7" s="37"/>
      <c r="B7" s="37"/>
      <c r="C7" s="37"/>
      <c r="D7" s="37"/>
      <c r="E7" s="37"/>
      <c r="F7" s="37"/>
      <c r="G7" s="37"/>
      <c r="H7" s="37"/>
      <c r="I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8"/>
      <c r="Z7" s="37"/>
      <c r="AA7" s="37"/>
      <c r="AB7" s="37"/>
      <c r="AC7" s="51"/>
      <c r="AD7" s="37"/>
      <c r="AE7" s="37"/>
      <c r="AF7" s="37"/>
      <c r="AG7" s="37"/>
      <c r="AH7" s="241" t="s">
        <v>199</v>
      </c>
      <c r="AI7" s="242">
        <v>10</v>
      </c>
      <c r="AJ7" s="237" t="s">
        <v>76</v>
      </c>
      <c r="AK7" s="237" t="s">
        <v>77</v>
      </c>
      <c r="AL7" s="237" t="s">
        <v>78</v>
      </c>
      <c r="AM7" s="238" t="s">
        <v>79</v>
      </c>
      <c r="AN7" s="170" t="s">
        <v>202</v>
      </c>
      <c r="AO7" s="171">
        <v>100</v>
      </c>
      <c r="AP7" s="49"/>
      <c r="AQ7" s="170" t="s">
        <v>202</v>
      </c>
      <c r="AR7" s="171">
        <v>100</v>
      </c>
      <c r="AT7" s="170" t="s">
        <v>202</v>
      </c>
      <c r="AU7" s="171">
        <v>100</v>
      </c>
      <c r="AV7" s="49"/>
      <c r="AW7" s="170" t="s">
        <v>202</v>
      </c>
      <c r="AX7" s="168">
        <v>100</v>
      </c>
      <c r="AY7" s="49"/>
      <c r="AZ7" s="170" t="s">
        <v>202</v>
      </c>
      <c r="BA7" s="168">
        <v>100</v>
      </c>
      <c r="BB7" s="49"/>
      <c r="BC7" s="170" t="s">
        <v>202</v>
      </c>
      <c r="BD7" s="168">
        <v>100</v>
      </c>
      <c r="BE7" s="50"/>
      <c r="BF7" s="170" t="s">
        <v>202</v>
      </c>
      <c r="BG7" s="171">
        <v>100</v>
      </c>
      <c r="BH7" s="49"/>
      <c r="BI7" s="170" t="s">
        <v>202</v>
      </c>
      <c r="BJ7" s="171">
        <v>100</v>
      </c>
      <c r="BL7" s="170" t="s">
        <v>202</v>
      </c>
      <c r="BM7" s="168">
        <v>100</v>
      </c>
      <c r="BN7" s="49"/>
      <c r="BO7" s="170" t="s">
        <v>202</v>
      </c>
      <c r="BP7" s="168">
        <v>100</v>
      </c>
      <c r="BQ7" s="105"/>
      <c r="BR7" s="169" t="s">
        <v>80</v>
      </c>
      <c r="BS7" s="168">
        <v>3</v>
      </c>
      <c r="BT7" s="230"/>
      <c r="BU7" s="166"/>
      <c r="BV7" s="168"/>
      <c r="BW7" s="230"/>
      <c r="BX7" s="166"/>
      <c r="BY7" s="168"/>
      <c r="BZ7" s="230"/>
      <c r="CA7" s="166"/>
      <c r="CB7" s="104"/>
    </row>
    <row r="8" spans="1:80" s="36" customFormat="1" ht="29.1" customHeight="1" thickBot="1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8"/>
      <c r="Z8" s="37"/>
      <c r="AA8" s="37"/>
      <c r="AB8" s="37"/>
      <c r="AC8" s="37"/>
      <c r="AD8" s="37"/>
      <c r="AE8" s="37"/>
      <c r="AF8" s="37"/>
      <c r="AG8" s="37"/>
      <c r="AH8" s="243" t="s">
        <v>81</v>
      </c>
      <c r="AI8" s="244">
        <f>(AI6-13*2)/2</f>
        <v>37</v>
      </c>
      <c r="AJ8" s="245"/>
      <c r="AK8" s="245"/>
      <c r="AL8" s="237" t="s">
        <v>82</v>
      </c>
      <c r="AM8" s="238" t="s">
        <v>83</v>
      </c>
      <c r="AN8" s="170" t="s">
        <v>207</v>
      </c>
      <c r="AO8" s="233">
        <v>15</v>
      </c>
      <c r="AP8" s="49"/>
      <c r="AQ8" s="170" t="s">
        <v>207</v>
      </c>
      <c r="AR8" s="233">
        <v>15</v>
      </c>
      <c r="AT8" s="170" t="s">
        <v>207</v>
      </c>
      <c r="AU8" s="233">
        <v>15</v>
      </c>
      <c r="AV8" s="49"/>
      <c r="AW8" s="170" t="s">
        <v>207</v>
      </c>
      <c r="AX8" s="168">
        <v>15</v>
      </c>
      <c r="AY8" s="49"/>
      <c r="AZ8" s="170" t="s">
        <v>207</v>
      </c>
      <c r="BA8" s="168">
        <v>15</v>
      </c>
      <c r="BB8" s="49"/>
      <c r="BC8" s="170" t="s">
        <v>207</v>
      </c>
      <c r="BD8" s="168">
        <v>15</v>
      </c>
      <c r="BE8" s="50"/>
      <c r="BF8" s="170" t="s">
        <v>207</v>
      </c>
      <c r="BG8" s="171">
        <v>15</v>
      </c>
      <c r="BH8" s="49"/>
      <c r="BI8" s="170" t="s">
        <v>207</v>
      </c>
      <c r="BJ8" s="171">
        <v>15</v>
      </c>
      <c r="BL8" s="170" t="s">
        <v>207</v>
      </c>
      <c r="BM8" s="168">
        <v>15</v>
      </c>
      <c r="BN8" s="49"/>
      <c r="BO8" s="170" t="s">
        <v>207</v>
      </c>
      <c r="BP8" s="168">
        <v>15</v>
      </c>
      <c r="BQ8" s="105"/>
      <c r="BR8" s="169" t="s">
        <v>84</v>
      </c>
      <c r="BS8" s="168">
        <v>30</v>
      </c>
      <c r="BT8" s="167"/>
      <c r="BU8" s="166" t="s">
        <v>85</v>
      </c>
      <c r="BV8" s="168">
        <v>20</v>
      </c>
      <c r="BW8" s="190"/>
      <c r="BX8" s="166" t="s">
        <v>85</v>
      </c>
      <c r="BY8" s="168">
        <v>20</v>
      </c>
      <c r="BZ8" s="190"/>
      <c r="CA8" s="166" t="s">
        <v>85</v>
      </c>
      <c r="CB8" s="104">
        <v>20</v>
      </c>
    </row>
    <row r="9" spans="1:80" s="36" customFormat="1" ht="33" customHeight="1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8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8"/>
      <c r="AN9" s="170" t="s">
        <v>206</v>
      </c>
      <c r="AO9" s="171">
        <v>120</v>
      </c>
      <c r="AP9" s="49"/>
      <c r="AQ9" s="170" t="s">
        <v>206</v>
      </c>
      <c r="AR9" s="171">
        <v>120</v>
      </c>
      <c r="AT9" s="170" t="s">
        <v>206</v>
      </c>
      <c r="AU9" s="171">
        <v>120</v>
      </c>
      <c r="AV9" s="49"/>
      <c r="AW9" s="170" t="s">
        <v>206</v>
      </c>
      <c r="AX9" s="168">
        <v>130</v>
      </c>
      <c r="AY9" s="49"/>
      <c r="AZ9" s="170" t="s">
        <v>206</v>
      </c>
      <c r="BA9" s="168">
        <v>130</v>
      </c>
      <c r="BB9" s="49"/>
      <c r="BC9" s="170" t="s">
        <v>206</v>
      </c>
      <c r="BD9" s="168">
        <v>130</v>
      </c>
      <c r="BE9" s="50"/>
      <c r="BF9" s="170" t="s">
        <v>206</v>
      </c>
      <c r="BG9" s="171">
        <v>130</v>
      </c>
      <c r="BH9" s="49"/>
      <c r="BI9" s="170" t="s">
        <v>206</v>
      </c>
      <c r="BJ9" s="171">
        <v>130</v>
      </c>
      <c r="BL9" s="170" t="s">
        <v>206</v>
      </c>
      <c r="BM9" s="168">
        <v>130</v>
      </c>
      <c r="BN9" s="49"/>
      <c r="BO9" s="170" t="s">
        <v>206</v>
      </c>
      <c r="BP9" s="168">
        <v>130</v>
      </c>
      <c r="BQ9" s="105"/>
      <c r="BR9" s="169"/>
      <c r="BS9" s="168"/>
      <c r="BT9" s="230"/>
      <c r="BU9" s="166" t="s">
        <v>87</v>
      </c>
      <c r="BV9" s="168" t="s">
        <v>53</v>
      </c>
      <c r="BW9" s="230"/>
      <c r="BX9" s="166" t="s">
        <v>87</v>
      </c>
      <c r="BY9" s="168" t="s">
        <v>53</v>
      </c>
      <c r="BZ9" s="230"/>
      <c r="CA9" s="166" t="s">
        <v>88</v>
      </c>
      <c r="CB9" s="104" t="s">
        <v>53</v>
      </c>
    </row>
    <row r="10" spans="1:80" s="5" customFormat="1" ht="24.7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7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7"/>
      <c r="AN10" s="170" t="s">
        <v>210</v>
      </c>
      <c r="AO10" s="171">
        <v>4</v>
      </c>
      <c r="AQ10" s="170" t="s">
        <v>210</v>
      </c>
      <c r="AR10" s="171">
        <v>4</v>
      </c>
      <c r="AT10" s="170" t="s">
        <v>210</v>
      </c>
      <c r="AU10" s="171">
        <v>4</v>
      </c>
      <c r="AV10" s="49"/>
      <c r="AW10" s="170" t="s">
        <v>210</v>
      </c>
      <c r="AX10" s="171">
        <v>4</v>
      </c>
      <c r="AY10" s="49"/>
      <c r="AZ10" s="170" t="s">
        <v>210</v>
      </c>
      <c r="BA10" s="171">
        <v>4</v>
      </c>
      <c r="BB10" s="49"/>
      <c r="BC10" s="170" t="s">
        <v>210</v>
      </c>
      <c r="BD10" s="171">
        <v>4</v>
      </c>
      <c r="BE10" s="50"/>
      <c r="BF10" s="170" t="s">
        <v>210</v>
      </c>
      <c r="BG10" s="171">
        <v>4</v>
      </c>
      <c r="BH10" s="49"/>
      <c r="BI10" s="170" t="s">
        <v>210</v>
      </c>
      <c r="BJ10" s="171">
        <v>4</v>
      </c>
      <c r="BL10" s="170" t="s">
        <v>210</v>
      </c>
      <c r="BM10" s="171">
        <v>4</v>
      </c>
      <c r="BN10" s="49"/>
      <c r="BO10" s="170" t="s">
        <v>210</v>
      </c>
      <c r="BP10" s="171">
        <v>4</v>
      </c>
      <c r="BQ10" s="105"/>
      <c r="BR10" s="169"/>
      <c r="BS10" s="168"/>
      <c r="BT10" s="230"/>
      <c r="BU10" s="170" t="s">
        <v>90</v>
      </c>
      <c r="BV10" s="171">
        <v>15</v>
      </c>
      <c r="BW10" s="173"/>
      <c r="BX10" s="170" t="s">
        <v>90</v>
      </c>
      <c r="BY10" s="171">
        <v>15</v>
      </c>
      <c r="BZ10" s="173"/>
      <c r="CA10" s="170" t="s">
        <v>91</v>
      </c>
      <c r="CB10" s="48">
        <v>15</v>
      </c>
    </row>
    <row r="11" spans="1:80" ht="24.7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N11" s="170" t="s">
        <v>211</v>
      </c>
      <c r="AO11" s="177">
        <v>4</v>
      </c>
      <c r="AQ11" s="170" t="s">
        <v>211</v>
      </c>
      <c r="AR11" s="177">
        <v>4</v>
      </c>
      <c r="AT11" s="170" t="s">
        <v>211</v>
      </c>
      <c r="AU11" s="177">
        <v>4</v>
      </c>
      <c r="AW11" s="170" t="s">
        <v>211</v>
      </c>
      <c r="AX11" s="177">
        <v>4</v>
      </c>
      <c r="AZ11" s="170" t="s">
        <v>211</v>
      </c>
      <c r="BA11" s="177">
        <v>4</v>
      </c>
      <c r="BC11" s="170" t="s">
        <v>211</v>
      </c>
      <c r="BD11" s="177">
        <v>4</v>
      </c>
      <c r="BF11" s="170" t="s">
        <v>211</v>
      </c>
      <c r="BG11" s="177">
        <v>4</v>
      </c>
      <c r="BI11" s="170" t="s">
        <v>211</v>
      </c>
      <c r="BJ11" s="177">
        <v>4</v>
      </c>
      <c r="BL11" s="170" t="s">
        <v>211</v>
      </c>
      <c r="BM11" s="177">
        <v>4</v>
      </c>
      <c r="BO11" s="170" t="s">
        <v>211</v>
      </c>
      <c r="BP11" s="177">
        <v>4</v>
      </c>
      <c r="BQ11" s="99"/>
      <c r="BR11" s="169"/>
      <c r="BS11" s="168"/>
      <c r="BT11" s="230"/>
      <c r="BU11" s="169"/>
      <c r="BV11" s="168"/>
      <c r="BW11" s="230"/>
      <c r="BX11" s="169"/>
      <c r="BY11" s="168"/>
      <c r="BZ11" s="230"/>
      <c r="CA11" s="169"/>
      <c r="CB11" s="104"/>
    </row>
    <row r="12" spans="1:80" ht="16.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N12" s="170" t="s">
        <v>212</v>
      </c>
      <c r="AO12" s="177">
        <v>15</v>
      </c>
      <c r="AQ12" s="170" t="s">
        <v>212</v>
      </c>
      <c r="AR12" s="177">
        <v>15</v>
      </c>
      <c r="AT12" s="170" t="s">
        <v>212</v>
      </c>
      <c r="AU12" s="177">
        <v>15</v>
      </c>
      <c r="AW12" s="170" t="s">
        <v>212</v>
      </c>
      <c r="AX12" s="177">
        <v>15</v>
      </c>
      <c r="AZ12" s="170" t="s">
        <v>212</v>
      </c>
      <c r="BA12" s="177">
        <v>15</v>
      </c>
      <c r="BC12" s="170" t="s">
        <v>212</v>
      </c>
      <c r="BD12" s="177">
        <v>15</v>
      </c>
      <c r="BF12" s="170" t="s">
        <v>212</v>
      </c>
      <c r="BG12" s="177">
        <v>15</v>
      </c>
      <c r="BI12" s="170" t="s">
        <v>212</v>
      </c>
      <c r="BJ12" s="177">
        <v>15</v>
      </c>
      <c r="BL12" s="170" t="s">
        <v>212</v>
      </c>
      <c r="BM12" s="177">
        <v>15</v>
      </c>
      <c r="BO12" s="170" t="s">
        <v>212</v>
      </c>
      <c r="BP12" s="177">
        <v>15</v>
      </c>
      <c r="BQ12" s="105"/>
      <c r="BR12" s="169"/>
      <c r="BS12" s="168"/>
      <c r="BT12" s="230"/>
      <c r="BU12" s="169"/>
      <c r="BV12" s="168"/>
      <c r="BW12" s="230"/>
      <c r="BX12" s="169"/>
      <c r="BY12" s="168"/>
      <c r="BZ12" s="230"/>
      <c r="CA12" s="169"/>
      <c r="CB12" s="104"/>
    </row>
    <row r="13" spans="1:80" ht="16.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N13" s="170" t="s">
        <v>213</v>
      </c>
      <c r="AO13" s="177">
        <f>AO12-AO10</f>
        <v>11</v>
      </c>
      <c r="AP13" s="49"/>
      <c r="AQ13" s="170" t="s">
        <v>213</v>
      </c>
      <c r="AR13" s="177">
        <f>AR12-AR10</f>
        <v>11</v>
      </c>
      <c r="AT13" s="170" t="s">
        <v>213</v>
      </c>
      <c r="AU13" s="177">
        <f>AU12-AU10</f>
        <v>11</v>
      </c>
      <c r="AW13" s="170" t="s">
        <v>213</v>
      </c>
      <c r="AX13" s="177">
        <f>AX12-AX10</f>
        <v>11</v>
      </c>
      <c r="AZ13" s="170" t="s">
        <v>213</v>
      </c>
      <c r="BA13" s="177">
        <f>BA12-BA10</f>
        <v>11</v>
      </c>
      <c r="BC13" s="170" t="s">
        <v>213</v>
      </c>
      <c r="BD13" s="177">
        <f>BD12-BD10</f>
        <v>11</v>
      </c>
      <c r="BF13" s="170" t="s">
        <v>213</v>
      </c>
      <c r="BG13" s="177">
        <f>BG12-BG10</f>
        <v>11</v>
      </c>
      <c r="BI13" s="170" t="s">
        <v>213</v>
      </c>
      <c r="BJ13" s="177">
        <f>BJ12-BJ10</f>
        <v>11</v>
      </c>
      <c r="BL13" s="170" t="s">
        <v>213</v>
      </c>
      <c r="BM13" s="177">
        <f>BM12-BM10</f>
        <v>11</v>
      </c>
      <c r="BO13" s="170" t="s">
        <v>213</v>
      </c>
      <c r="BP13" s="177">
        <f>BP12-BP10</f>
        <v>11</v>
      </c>
      <c r="BQ13" s="105"/>
      <c r="BR13" s="103"/>
      <c r="BS13" s="104"/>
      <c r="BT13" s="113"/>
      <c r="BU13" s="103"/>
      <c r="BV13" s="104"/>
      <c r="BW13" s="105"/>
      <c r="BX13" s="103"/>
      <c r="BY13" s="104"/>
      <c r="BZ13" s="105"/>
      <c r="CA13" s="103"/>
      <c r="CB13" s="104"/>
    </row>
    <row r="14" spans="1:80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N14" s="172" t="s">
        <v>86</v>
      </c>
      <c r="AO14" s="171">
        <v>1.5</v>
      </c>
      <c r="AQ14" s="172" t="s">
        <v>86</v>
      </c>
      <c r="AR14" s="171">
        <v>1.5</v>
      </c>
      <c r="AT14" s="172" t="s">
        <v>86</v>
      </c>
      <c r="AU14" s="171">
        <v>1.5</v>
      </c>
      <c r="AW14" s="169" t="s">
        <v>142</v>
      </c>
      <c r="AX14" s="168">
        <v>2</v>
      </c>
      <c r="AZ14" s="169" t="s">
        <v>142</v>
      </c>
      <c r="BA14" s="168">
        <v>2</v>
      </c>
      <c r="BC14" s="169" t="s">
        <v>142</v>
      </c>
      <c r="BD14" s="168">
        <v>2</v>
      </c>
      <c r="BF14" s="172" t="s">
        <v>86</v>
      </c>
      <c r="BG14" s="171">
        <v>2</v>
      </c>
      <c r="BI14" s="172" t="s">
        <v>86</v>
      </c>
      <c r="BJ14" s="171">
        <v>2</v>
      </c>
      <c r="BL14" s="169" t="s">
        <v>142</v>
      </c>
      <c r="BM14" s="168">
        <v>2</v>
      </c>
      <c r="BO14" s="169" t="s">
        <v>142</v>
      </c>
      <c r="BP14" s="168">
        <v>2</v>
      </c>
      <c r="BQ14" s="115"/>
      <c r="BR14" s="112"/>
      <c r="BS14" s="114"/>
      <c r="BT14" s="115"/>
      <c r="BU14" s="112"/>
      <c r="BV14" s="114"/>
      <c r="BW14" s="115"/>
      <c r="BX14" s="112"/>
      <c r="BY14" s="114"/>
      <c r="BZ14" s="115"/>
      <c r="CA14" s="112"/>
      <c r="CB14" s="114"/>
    </row>
    <row r="15" spans="1:80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N15" s="172" t="s">
        <v>89</v>
      </c>
      <c r="AO15" s="171">
        <v>25</v>
      </c>
      <c r="AQ15" s="172" t="s">
        <v>89</v>
      </c>
      <c r="AR15" s="171">
        <v>25</v>
      </c>
      <c r="AT15" s="172" t="s">
        <v>89</v>
      </c>
      <c r="AU15" s="171">
        <v>25</v>
      </c>
      <c r="AW15" s="169" t="s">
        <v>89</v>
      </c>
      <c r="AX15" s="168">
        <v>30</v>
      </c>
      <c r="AZ15" s="169" t="s">
        <v>89</v>
      </c>
      <c r="BA15" s="168">
        <v>30</v>
      </c>
      <c r="BC15" s="169" t="s">
        <v>89</v>
      </c>
      <c r="BD15" s="168">
        <v>30</v>
      </c>
      <c r="BF15" s="172" t="s">
        <v>89</v>
      </c>
      <c r="BG15" s="171">
        <v>30</v>
      </c>
      <c r="BI15" s="172" t="s">
        <v>89</v>
      </c>
      <c r="BJ15" s="171">
        <v>30</v>
      </c>
      <c r="BL15" s="169" t="s">
        <v>89</v>
      </c>
      <c r="BM15" s="168">
        <v>30</v>
      </c>
      <c r="BO15" s="169" t="s">
        <v>89</v>
      </c>
      <c r="BP15" s="168">
        <v>30</v>
      </c>
      <c r="BQ15" s="115"/>
      <c r="BR15" s="112"/>
      <c r="BS15" s="114"/>
      <c r="BT15" s="115"/>
      <c r="BU15" s="112"/>
      <c r="BV15" s="114"/>
      <c r="BW15" s="115"/>
      <c r="BX15" s="112"/>
      <c r="BY15" s="114"/>
      <c r="BZ15" s="115"/>
      <c r="CA15" s="112"/>
      <c r="CB15" s="114"/>
    </row>
    <row r="16" spans="1:80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N16" s="202" t="s">
        <v>92</v>
      </c>
      <c r="AO16" s="201">
        <v>30</v>
      </c>
      <c r="AQ16" s="202" t="s">
        <v>92</v>
      </c>
      <c r="AR16" s="201">
        <v>30</v>
      </c>
      <c r="AT16" s="202" t="s">
        <v>92</v>
      </c>
      <c r="AU16" s="201">
        <v>30</v>
      </c>
      <c r="AW16" s="169" t="s">
        <v>144</v>
      </c>
      <c r="AX16" s="168">
        <v>25</v>
      </c>
      <c r="AY16" s="136"/>
      <c r="AZ16" s="169" t="s">
        <v>144</v>
      </c>
      <c r="BA16" s="168">
        <v>25</v>
      </c>
      <c r="BB16" s="136"/>
      <c r="BC16" s="169" t="s">
        <v>144</v>
      </c>
      <c r="BD16" s="168">
        <v>25</v>
      </c>
      <c r="BE16" s="136"/>
      <c r="BF16" s="172" t="s">
        <v>143</v>
      </c>
      <c r="BG16" s="171">
        <v>25</v>
      </c>
      <c r="BH16" s="136"/>
      <c r="BI16" s="172" t="s">
        <v>143</v>
      </c>
      <c r="BJ16" s="171">
        <v>25</v>
      </c>
      <c r="BL16" s="169" t="s">
        <v>144</v>
      </c>
      <c r="BM16" s="168">
        <v>25</v>
      </c>
      <c r="BO16" s="169" t="s">
        <v>144</v>
      </c>
      <c r="BP16" s="168">
        <v>25</v>
      </c>
      <c r="BQ16" s="121"/>
      <c r="BR16" s="112"/>
      <c r="BS16" s="116"/>
      <c r="BT16" s="85"/>
      <c r="BU16" s="112"/>
      <c r="BV16" s="116"/>
      <c r="BW16" s="121"/>
      <c r="BX16" s="112"/>
      <c r="BY16" s="116"/>
      <c r="BZ16" s="121"/>
      <c r="CA16" s="112"/>
      <c r="CB16" s="116"/>
    </row>
    <row r="17" spans="1:80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N17" s="202" t="s">
        <v>93</v>
      </c>
      <c r="AO17" s="201">
        <v>15</v>
      </c>
      <c r="AQ17" s="202" t="s">
        <v>93</v>
      </c>
      <c r="AR17" s="201">
        <v>15</v>
      </c>
      <c r="AT17" s="202" t="s">
        <v>93</v>
      </c>
      <c r="AU17" s="201">
        <v>15</v>
      </c>
      <c r="AW17" s="182" t="s">
        <v>229</v>
      </c>
      <c r="AX17" s="235">
        <v>12</v>
      </c>
      <c r="AY17" s="136"/>
      <c r="AZ17" s="169" t="s">
        <v>230</v>
      </c>
      <c r="BA17" s="168">
        <v>12</v>
      </c>
      <c r="BB17" s="136"/>
      <c r="BC17" s="169" t="s">
        <v>230</v>
      </c>
      <c r="BD17" s="168">
        <v>12</v>
      </c>
      <c r="BE17" s="136"/>
      <c r="BF17" s="172" t="s">
        <v>93</v>
      </c>
      <c r="BG17" s="171">
        <v>12</v>
      </c>
      <c r="BH17" s="136"/>
      <c r="BI17" s="172" t="s">
        <v>235</v>
      </c>
      <c r="BJ17" s="171">
        <v>12</v>
      </c>
      <c r="BL17" s="169" t="s">
        <v>237</v>
      </c>
      <c r="BM17" s="168">
        <v>12</v>
      </c>
      <c r="BO17" s="198" t="s">
        <v>224</v>
      </c>
      <c r="BP17" s="199">
        <v>12</v>
      </c>
      <c r="BQ17" s="121"/>
      <c r="BR17" s="112"/>
      <c r="BS17" s="116"/>
      <c r="BT17" s="85"/>
      <c r="BU17" s="112"/>
      <c r="BV17" s="116"/>
      <c r="BW17" s="121"/>
      <c r="BX17" s="112"/>
      <c r="BY17" s="116"/>
      <c r="BZ17" s="121"/>
      <c r="CA17" s="112"/>
      <c r="CB17" s="116"/>
    </row>
    <row r="18" spans="1:80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N18" s="202" t="s">
        <v>94</v>
      </c>
      <c r="AO18" s="201">
        <v>0.5</v>
      </c>
      <c r="AQ18" s="202" t="s">
        <v>94</v>
      </c>
      <c r="AR18" s="201">
        <v>0.5</v>
      </c>
      <c r="AT18" s="202" t="s">
        <v>94</v>
      </c>
      <c r="AU18" s="201">
        <v>0.5</v>
      </c>
      <c r="AW18" s="169" t="s">
        <v>146</v>
      </c>
      <c r="AX18" s="168">
        <v>2</v>
      </c>
      <c r="AY18" s="136"/>
      <c r="AZ18" s="169" t="s">
        <v>146</v>
      </c>
      <c r="BA18" s="168">
        <v>2</v>
      </c>
      <c r="BB18" s="136"/>
      <c r="BC18" s="169" t="s">
        <v>146</v>
      </c>
      <c r="BD18" s="168">
        <v>2</v>
      </c>
      <c r="BE18" s="136"/>
      <c r="BF18" s="172" t="s">
        <v>145</v>
      </c>
      <c r="BG18" s="171">
        <v>2</v>
      </c>
      <c r="BH18" s="136"/>
      <c r="BI18" s="172" t="s">
        <v>145</v>
      </c>
      <c r="BJ18" s="171">
        <v>2</v>
      </c>
      <c r="BL18" s="169" t="s">
        <v>146</v>
      </c>
      <c r="BM18" s="168">
        <v>2</v>
      </c>
      <c r="BO18" s="169" t="s">
        <v>146</v>
      </c>
      <c r="BP18" s="168">
        <v>2</v>
      </c>
      <c r="BQ18" s="231"/>
      <c r="BR18" s="112"/>
      <c r="BS18" s="116"/>
      <c r="BT18" s="124"/>
      <c r="BU18" s="112"/>
      <c r="BV18" s="116"/>
      <c r="BW18" s="121"/>
      <c r="BX18" s="112"/>
      <c r="BY18" s="116"/>
      <c r="BZ18" s="121"/>
      <c r="CA18" s="112"/>
      <c r="CB18" s="116"/>
    </row>
    <row r="19" spans="1:80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N19" s="202" t="s">
        <v>95</v>
      </c>
      <c r="AO19" s="201">
        <v>2</v>
      </c>
      <c r="AQ19" s="202" t="s">
        <v>95</v>
      </c>
      <c r="AR19" s="201">
        <v>2</v>
      </c>
      <c r="AT19" s="202" t="s">
        <v>95</v>
      </c>
      <c r="AU19" s="201">
        <v>2</v>
      </c>
      <c r="AW19" s="169" t="s">
        <v>148</v>
      </c>
      <c r="AX19" s="168">
        <v>0.5</v>
      </c>
      <c r="AZ19" s="169" t="s">
        <v>148</v>
      </c>
      <c r="BA19" s="168">
        <v>0.5</v>
      </c>
      <c r="BC19" s="169" t="s">
        <v>148</v>
      </c>
      <c r="BD19" s="168">
        <v>0.5</v>
      </c>
      <c r="BF19" s="172" t="s">
        <v>147</v>
      </c>
      <c r="BG19" s="171">
        <v>0.5</v>
      </c>
      <c r="BI19" s="172" t="s">
        <v>147</v>
      </c>
      <c r="BJ19" s="171">
        <v>0.5</v>
      </c>
      <c r="BL19" s="169" t="s">
        <v>148</v>
      </c>
      <c r="BM19" s="168">
        <v>0.5</v>
      </c>
      <c r="BO19" s="169" t="s">
        <v>148</v>
      </c>
      <c r="BP19" s="168">
        <v>0.5</v>
      </c>
      <c r="BQ19" s="124"/>
      <c r="BR19" s="112"/>
      <c r="BS19" s="116"/>
      <c r="BT19" s="124"/>
      <c r="BU19" s="112"/>
      <c r="BV19" s="116"/>
      <c r="BW19" s="121"/>
      <c r="BX19" s="112"/>
      <c r="BY19" s="116"/>
      <c r="BZ19" s="121"/>
      <c r="CA19" s="112"/>
      <c r="CB19" s="116"/>
    </row>
    <row r="20" spans="1:80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N20" s="202" t="s">
        <v>96</v>
      </c>
      <c r="AO20" s="201">
        <v>1</v>
      </c>
      <c r="AQ20" s="202" t="s">
        <v>96</v>
      </c>
      <c r="AR20" s="201">
        <v>1</v>
      </c>
      <c r="AT20" s="202" t="s">
        <v>96</v>
      </c>
      <c r="AU20" s="201">
        <v>1</v>
      </c>
      <c r="AW20" s="169" t="s">
        <v>151</v>
      </c>
      <c r="AX20" s="168">
        <v>1.5</v>
      </c>
      <c r="AZ20" s="169" t="s">
        <v>151</v>
      </c>
      <c r="BA20" s="168">
        <v>1.5</v>
      </c>
      <c r="BC20" s="169" t="s">
        <v>151</v>
      </c>
      <c r="BD20" s="168">
        <v>3</v>
      </c>
      <c r="BI20" s="172" t="s">
        <v>151</v>
      </c>
      <c r="BJ20" s="171">
        <v>2</v>
      </c>
      <c r="BL20" s="169" t="s">
        <v>151</v>
      </c>
      <c r="BM20" s="168">
        <v>2</v>
      </c>
      <c r="BO20" s="169" t="s">
        <v>151</v>
      </c>
      <c r="BP20" s="168">
        <v>2</v>
      </c>
      <c r="BQ20" s="124"/>
      <c r="BR20" s="112"/>
      <c r="BS20" s="116"/>
      <c r="BT20" s="124"/>
      <c r="BU20" s="112"/>
      <c r="BV20" s="116"/>
      <c r="BW20" s="121"/>
      <c r="BX20" s="112"/>
      <c r="BY20" s="116"/>
      <c r="BZ20" s="121"/>
      <c r="CA20" s="112"/>
      <c r="CB20" s="116"/>
    </row>
    <row r="21" spans="1:80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N21" s="133"/>
      <c r="AO21" s="232"/>
      <c r="AQ21" s="58" t="s">
        <v>97</v>
      </c>
      <c r="AR21" s="135">
        <f>((AR7-AR13*2)*AR14+(AR16+AR17*4)+(AR18+AR19*2)*AR20)/36</f>
        <v>5.875</v>
      </c>
      <c r="AT21" s="58" t="s">
        <v>97</v>
      </c>
      <c r="AU21" s="135">
        <f>((AU7-AU13*2)*AU14+(AU16+AU17*4)+(AU18+AU19*2)*AU20)/36</f>
        <v>5.875</v>
      </c>
      <c r="AZ21" s="117" t="s">
        <v>152</v>
      </c>
      <c r="BA21" s="186">
        <f>(((BA7-BA13*2)*BA14)+((BA16+BA18+BA19+BA17)*2))*BA20/36</f>
        <v>9.7916666666666661</v>
      </c>
      <c r="BC21" s="193" t="s">
        <v>152</v>
      </c>
      <c r="BD21" s="194">
        <f>(((BD7-BD13*2)*BD14)+((BD16+BD18+BD19+BD17)*2))*2/36</f>
        <v>13.055555555555555</v>
      </c>
      <c r="BF21" s="172" t="s">
        <v>151</v>
      </c>
      <c r="BG21" s="171">
        <v>2</v>
      </c>
      <c r="BI21" s="184" t="s">
        <v>152</v>
      </c>
      <c r="BJ21" s="186">
        <f>(((BJ7-BJ13*2)*BJ14)+((BJ16+BJ18+BJ19+BJ17)*2))*BJ20/36</f>
        <v>13.055555555555555</v>
      </c>
      <c r="BL21" s="184" t="s">
        <v>152</v>
      </c>
      <c r="BM21" s="186">
        <f>(((BM7-BM13*2)*BM14)+((BM16+BM18+BM19+BM17)*2))*BM20/36</f>
        <v>13.055555555555555</v>
      </c>
      <c r="BO21" s="200"/>
      <c r="BP21" s="150"/>
      <c r="BQ21" s="61"/>
      <c r="BR21" s="122" t="s">
        <v>153</v>
      </c>
      <c r="BS21" s="123"/>
      <c r="BT21" s="124"/>
      <c r="BU21" s="112"/>
      <c r="BV21" s="116"/>
      <c r="BW21" s="121"/>
      <c r="BX21" s="112"/>
      <c r="BY21" s="116"/>
      <c r="BZ21" s="121"/>
      <c r="CA21" s="112"/>
      <c r="CB21" s="116"/>
    </row>
    <row r="22" spans="1:80" ht="16.5" thickBot="1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N22" s="134" t="s">
        <v>81</v>
      </c>
      <c r="AO22" s="234">
        <f>((AO7-AO13*2)*AO14+(AO16+AO17*4)+(AO18+AO19*2)*AO20)*2/36</f>
        <v>11.75</v>
      </c>
      <c r="AQ22" s="134" t="s">
        <v>98</v>
      </c>
      <c r="AR22" s="135">
        <f>((AR7-AR13*2)*AR14+(AR16+AR17*4)+(AR18+AR19*2)*AR20)/36</f>
        <v>5.875</v>
      </c>
      <c r="AT22" s="134" t="s">
        <v>98</v>
      </c>
      <c r="AU22" s="135">
        <f>((AU7-AU13*2)*AU14+(AU16+AU17*4)+(AU18+AU19*2)*AU20)/36</f>
        <v>5.875</v>
      </c>
      <c r="AW22" s="126" t="s">
        <v>152</v>
      </c>
      <c r="AX22" s="187">
        <f>(((AX7-AX13*2)*AX14)+((AX16+AX17+AX18+AX19)*2))*AX20/36*2</f>
        <v>19.583333333333332</v>
      </c>
      <c r="AZ22" s="126" t="s">
        <v>154</v>
      </c>
      <c r="BA22" s="187">
        <f>(((BA7-BA13*2)*BA14)+((BA16+BA18+BA19+BA17)*2))*BA20/36</f>
        <v>9.7916666666666661</v>
      </c>
      <c r="BC22" s="195" t="s">
        <v>154</v>
      </c>
      <c r="BD22" s="196">
        <f>(((BD7-BD13*2)*BD14)+((BD16+BD18+BD19+BD17)*2))/36</f>
        <v>6.5277777777777777</v>
      </c>
      <c r="BF22" s="180" t="s">
        <v>81</v>
      </c>
      <c r="BG22" s="181">
        <f>(((BG7-BG13*2)*BG14+(BG16*2)+(BG18+BG19+BG17)*2)/36*2)</f>
        <v>13.055555555555555</v>
      </c>
      <c r="BI22" s="185" t="s">
        <v>154</v>
      </c>
      <c r="BJ22" s="187">
        <f>(((BJ7-BJ13*2)*BJ14)+((BJ16+BJ18+BJ19+BJ17)*2))*BJ20/36</f>
        <v>13.055555555555555</v>
      </c>
      <c r="BL22" s="185" t="s">
        <v>154</v>
      </c>
      <c r="BM22" s="187">
        <f>(((BM7-BM13*2)*BM14)+((BM16+BM18+BM19+BM17)*2))*BM20/36</f>
        <v>13.055555555555555</v>
      </c>
      <c r="BO22" s="183" t="s">
        <v>152</v>
      </c>
      <c r="BP22" s="187">
        <f>(((BP7-BP13*2)*BP14)+(BP17+BP16+BP18)*2)*BP20/36</f>
        <v>13</v>
      </c>
      <c r="BQ22" s="61"/>
      <c r="BR22" s="125" t="s">
        <v>81</v>
      </c>
      <c r="BS22" s="130">
        <f>BS7*BS8</f>
        <v>90</v>
      </c>
      <c r="BT22" s="115"/>
      <c r="BU22" s="125" t="s">
        <v>81</v>
      </c>
      <c r="BV22" s="127">
        <f>(BV8*BV10)</f>
        <v>300</v>
      </c>
      <c r="BW22" s="121"/>
      <c r="BX22" s="125" t="s">
        <v>81</v>
      </c>
      <c r="BY22" s="127">
        <f>(BY8*BY10)</f>
        <v>300</v>
      </c>
      <c r="BZ22" s="121"/>
      <c r="CA22" s="125" t="s">
        <v>81</v>
      </c>
      <c r="CB22" s="127">
        <f>(CB8*CB10)</f>
        <v>300</v>
      </c>
    </row>
    <row r="23" spans="1:80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</row>
    <row r="24" spans="1:80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</row>
    <row r="25" spans="1:80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</row>
    <row r="26" spans="1:80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</row>
    <row r="27" spans="1:80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</row>
    <row r="28" spans="1:80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</row>
    <row r="29" spans="1:80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</row>
    <row r="30" spans="1:80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</row>
    <row r="31" spans="1:80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</row>
    <row r="32" spans="1:80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</row>
    <row r="33" spans="1:38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</row>
    <row r="34" spans="1:38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</row>
    <row r="35" spans="1:38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</row>
    <row r="36" spans="1:38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</row>
    <row r="37" spans="1:38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</row>
    <row r="38" spans="1:38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</row>
    <row r="39" spans="1:38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</row>
  </sheetData>
  <mergeCells count="1">
    <mergeCell ref="A1:C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48"/>
  <sheetViews>
    <sheetView topLeftCell="A4" zoomScale="115" zoomScaleNormal="115" zoomScalePageLayoutView="186" workbookViewId="0">
      <selection activeCell="AD7" sqref="AD7"/>
    </sheetView>
  </sheetViews>
  <sheetFormatPr defaultColWidth="13.625" defaultRowHeight="15.75"/>
  <cols>
    <col min="1" max="1" width="11.375" style="61" customWidth="1"/>
    <col min="2" max="10" width="7.625" style="61" customWidth="1"/>
    <col min="11" max="12" width="7.625" style="3" customWidth="1"/>
    <col min="13" max="19" width="9.375" style="61" customWidth="1"/>
    <col min="20" max="20" width="13.625" style="61" customWidth="1"/>
    <col min="21" max="22" width="9.375" style="61" customWidth="1"/>
    <col min="23" max="23" width="10.625" style="61" customWidth="1"/>
    <col min="24" max="25" width="9.375" style="61" customWidth="1"/>
    <col min="26" max="26" width="11.875" style="62" bestFit="1" customWidth="1"/>
    <col min="27" max="28" width="8.875" style="62" customWidth="1"/>
    <col min="29" max="34" width="8.875" style="61" customWidth="1"/>
    <col min="35" max="35" width="22.125" style="61" customWidth="1"/>
    <col min="36" max="36" width="7.875" style="61" customWidth="1"/>
    <col min="37" max="38" width="22.125" style="61" customWidth="1"/>
    <col min="39" max="39" width="22.125" style="62" customWidth="1"/>
    <col min="40" max="40" width="18" style="62" customWidth="1"/>
    <col min="41" max="41" width="22.875" style="62" bestFit="1" customWidth="1"/>
    <col min="42" max="42" width="6.5" style="62" bestFit="1" customWidth="1"/>
    <col min="43" max="43" width="1.375" style="62" customWidth="1"/>
    <col min="44" max="44" width="22.125" style="62" customWidth="1"/>
    <col min="45" max="45" width="6" style="62" customWidth="1"/>
    <col min="46" max="46" width="1.5" style="61" customWidth="1"/>
    <col min="47" max="47" width="22.125" style="61" customWidth="1"/>
    <col min="48" max="48" width="4.375" style="61" bestFit="1" customWidth="1"/>
    <col min="49" max="49" width="1.625" style="61" customWidth="1"/>
    <col min="50" max="50" width="22.125" style="61" customWidth="1"/>
    <col min="51" max="51" width="5" style="61" bestFit="1" customWidth="1"/>
    <col min="52" max="52" width="1.875" style="61" customWidth="1"/>
    <col min="53" max="53" width="22.125" style="61" customWidth="1"/>
    <col min="54" max="54" width="5" style="61" bestFit="1" customWidth="1"/>
    <col min="55" max="55" width="2.875" style="61" customWidth="1"/>
    <col min="56" max="56" width="22.125" style="61" customWidth="1"/>
    <col min="57" max="57" width="5" style="61" bestFit="1" customWidth="1"/>
    <col min="58" max="58" width="2" style="61" customWidth="1"/>
    <col min="59" max="59" width="22" style="61" bestFit="1" customWidth="1"/>
    <col min="60" max="60" width="6.5" style="61" bestFit="1" customWidth="1"/>
    <col min="61" max="61" width="1.875" style="61" customWidth="1"/>
    <col min="62" max="62" width="22.125" style="61" customWidth="1"/>
    <col min="63" max="63" width="4" style="61" customWidth="1"/>
    <col min="64" max="64" width="2.5" style="61" customWidth="1"/>
    <col min="65" max="65" width="22.125" style="61" customWidth="1"/>
    <col min="66" max="66" width="6.125" style="61" customWidth="1"/>
    <col min="67" max="67" width="2.875" style="61" customWidth="1"/>
    <col min="68" max="68" width="22" style="61" customWidth="1"/>
    <col min="69" max="69" width="4" style="61" customWidth="1"/>
    <col min="70" max="70" width="2.375" style="61" customWidth="1"/>
    <col min="71" max="71" width="9.625" style="61" customWidth="1"/>
    <col min="72" max="72" width="5" style="61" bestFit="1" customWidth="1"/>
    <col min="73" max="73" width="2" style="61" customWidth="1"/>
    <col min="74" max="74" width="9.625" style="61" customWidth="1"/>
    <col min="75" max="75" width="5.625" style="61" bestFit="1" customWidth="1"/>
    <col min="76" max="76" width="1.125" style="61" customWidth="1"/>
    <col min="77" max="77" width="15.5" style="61" bestFit="1" customWidth="1"/>
    <col min="78" max="78" width="5.625" style="61" bestFit="1" customWidth="1"/>
    <col min="79" max="79" width="1.5" style="61" customWidth="1"/>
    <col min="80" max="80" width="14.875" style="61" customWidth="1"/>
    <col min="81" max="81" width="5.625" style="61" bestFit="1" customWidth="1"/>
    <col min="82" max="16384" width="13.625" style="61"/>
  </cols>
  <sheetData>
    <row r="1" spans="1:81" ht="15" customHeight="1">
      <c r="T1" s="138" t="s">
        <v>193</v>
      </c>
      <c r="W1" s="61" t="s">
        <v>194</v>
      </c>
    </row>
    <row r="2" spans="1:81" ht="12" customHeight="1">
      <c r="T2" s="61" t="s">
        <v>196</v>
      </c>
      <c r="W2" s="61" t="s">
        <v>195</v>
      </c>
    </row>
    <row r="3" spans="1:81" s="85" customFormat="1" ht="16.5" customHeight="1" thickBot="1">
      <c r="A3" s="151" t="s">
        <v>19</v>
      </c>
      <c r="B3" s="152"/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152"/>
      <c r="AF3" s="152"/>
      <c r="AG3" s="152"/>
      <c r="AH3" s="152"/>
      <c r="AI3" s="152"/>
      <c r="AJ3" s="152"/>
      <c r="AK3" s="152"/>
      <c r="AL3" s="152"/>
      <c r="AM3" s="152"/>
      <c r="AN3" s="152"/>
      <c r="AO3" s="152"/>
      <c r="AP3" s="152"/>
      <c r="AQ3" s="152"/>
      <c r="AR3" s="152"/>
      <c r="AS3" s="152"/>
      <c r="AT3" s="152"/>
      <c r="AU3" s="152"/>
      <c r="AV3" s="152"/>
      <c r="AW3" s="152"/>
      <c r="AX3" s="152"/>
      <c r="AY3" s="152"/>
      <c r="AZ3" s="152"/>
      <c r="BA3" s="152"/>
      <c r="BB3" s="152"/>
      <c r="BC3" s="152"/>
      <c r="BD3" s="152"/>
      <c r="BE3" s="152"/>
      <c r="BF3" s="152"/>
      <c r="BG3" s="152"/>
      <c r="BH3" s="152"/>
      <c r="BI3" s="152"/>
      <c r="BJ3" s="152"/>
      <c r="BK3" s="152"/>
      <c r="BL3" s="152"/>
      <c r="BM3" s="152"/>
      <c r="BN3" s="152"/>
      <c r="BO3" s="152"/>
      <c r="BP3" s="152"/>
      <c r="BQ3" s="152"/>
      <c r="BR3" s="152"/>
      <c r="BS3" s="152"/>
      <c r="BT3" s="152"/>
      <c r="BU3" s="152"/>
      <c r="BV3" s="152"/>
      <c r="BW3" s="152"/>
      <c r="BX3" s="152"/>
      <c r="BY3" s="152"/>
      <c r="BZ3" s="152"/>
      <c r="CA3" s="152"/>
      <c r="CB3" s="152"/>
      <c r="CC3" s="152"/>
    </row>
    <row r="4" spans="1:81" s="159" customFormat="1" ht="36.950000000000003" customHeight="1" thickBot="1">
      <c r="A4" s="11" t="s">
        <v>0</v>
      </c>
      <c r="B4" s="11" t="s">
        <v>0</v>
      </c>
      <c r="C4" s="1" t="s">
        <v>0</v>
      </c>
      <c r="D4" s="11" t="s">
        <v>0</v>
      </c>
      <c r="E4" s="11" t="s">
        <v>0</v>
      </c>
      <c r="F4" s="11" t="s">
        <v>0</v>
      </c>
      <c r="G4" s="11" t="s">
        <v>0</v>
      </c>
      <c r="H4" s="11"/>
      <c r="I4" s="11" t="s">
        <v>0</v>
      </c>
      <c r="J4" s="1" t="s">
        <v>0</v>
      </c>
      <c r="K4" s="11" t="s">
        <v>0</v>
      </c>
      <c r="L4" s="11" t="s">
        <v>0</v>
      </c>
      <c r="M4" s="1" t="s">
        <v>0</v>
      </c>
      <c r="N4" s="1" t="s">
        <v>0</v>
      </c>
      <c r="O4" s="1" t="s">
        <v>0</v>
      </c>
      <c r="P4" s="1" t="s">
        <v>0</v>
      </c>
      <c r="Q4" s="1" t="s">
        <v>0</v>
      </c>
      <c r="R4" s="1" t="s">
        <v>0</v>
      </c>
      <c r="S4" s="1" t="s">
        <v>0</v>
      </c>
      <c r="T4" s="1" t="s">
        <v>0</v>
      </c>
      <c r="U4" s="1" t="s">
        <v>0</v>
      </c>
      <c r="V4" s="1" t="s">
        <v>0</v>
      </c>
      <c r="W4" s="1" t="s">
        <v>0</v>
      </c>
      <c r="X4" s="1" t="s">
        <v>0</v>
      </c>
      <c r="Y4" s="1" t="s">
        <v>0</v>
      </c>
      <c r="Z4" s="1" t="s">
        <v>0</v>
      </c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58"/>
      <c r="BP4" s="158"/>
      <c r="BQ4" s="158"/>
      <c r="BR4" s="158"/>
      <c r="BS4" s="158"/>
      <c r="BT4" s="158"/>
      <c r="BU4" s="158"/>
      <c r="BV4" s="158"/>
      <c r="BW4" s="158"/>
      <c r="BX4" s="158"/>
      <c r="BY4" s="158"/>
      <c r="BZ4" s="158"/>
      <c r="CA4" s="158"/>
      <c r="CB4" s="158"/>
      <c r="CC4" s="158"/>
    </row>
    <row r="5" spans="1:81" s="88" customFormat="1" ht="27" customHeight="1" thickBot="1">
      <c r="A5" s="1" t="s">
        <v>22</v>
      </c>
      <c r="B5" s="1" t="s">
        <v>22</v>
      </c>
      <c r="C5" s="1" t="s">
        <v>22</v>
      </c>
      <c r="D5" s="1" t="s">
        <v>22</v>
      </c>
      <c r="E5" s="1" t="s">
        <v>22</v>
      </c>
      <c r="F5" s="1" t="s">
        <v>22</v>
      </c>
      <c r="G5" s="1" t="s">
        <v>22</v>
      </c>
      <c r="H5" s="1"/>
      <c r="I5" s="1" t="s">
        <v>22</v>
      </c>
      <c r="J5" s="1" t="s">
        <v>22</v>
      </c>
      <c r="K5" s="15" t="s">
        <v>23</v>
      </c>
      <c r="L5" s="15" t="s">
        <v>23</v>
      </c>
      <c r="M5" s="16" t="s">
        <v>24</v>
      </c>
      <c r="N5" s="16" t="s">
        <v>24</v>
      </c>
      <c r="O5" s="16" t="s">
        <v>24</v>
      </c>
      <c r="P5" s="16" t="s">
        <v>24</v>
      </c>
      <c r="Q5" s="16" t="s">
        <v>24</v>
      </c>
      <c r="R5" s="16" t="s">
        <v>24</v>
      </c>
      <c r="S5" s="16" t="s">
        <v>24</v>
      </c>
      <c r="T5" s="16" t="s">
        <v>24</v>
      </c>
      <c r="U5" s="16" t="s">
        <v>24</v>
      </c>
      <c r="V5" s="16" t="s">
        <v>24</v>
      </c>
      <c r="W5" s="16" t="s">
        <v>24</v>
      </c>
      <c r="X5" s="16" t="s">
        <v>24</v>
      </c>
      <c r="Y5" s="16" t="s">
        <v>24</v>
      </c>
      <c r="Z5" s="16" t="s">
        <v>24</v>
      </c>
      <c r="AA5" s="1" t="s">
        <v>20</v>
      </c>
      <c r="AB5" s="1" t="s">
        <v>20</v>
      </c>
      <c r="AC5" s="1" t="s">
        <v>20</v>
      </c>
      <c r="AD5" s="1" t="s">
        <v>20</v>
      </c>
      <c r="AE5" s="1" t="s">
        <v>20</v>
      </c>
      <c r="AF5" s="1" t="s">
        <v>20</v>
      </c>
      <c r="AG5" s="1" t="s">
        <v>20</v>
      </c>
      <c r="AH5" s="1" t="s">
        <v>20</v>
      </c>
      <c r="AI5" s="2" t="s">
        <v>21</v>
      </c>
      <c r="AJ5" s="2"/>
      <c r="AK5" s="2" t="s">
        <v>21</v>
      </c>
      <c r="AL5" s="2" t="s">
        <v>21</v>
      </c>
      <c r="AM5" s="2" t="s">
        <v>21</v>
      </c>
      <c r="AN5" s="2" t="s">
        <v>21</v>
      </c>
      <c r="AO5" s="2" t="s">
        <v>21</v>
      </c>
      <c r="AP5" s="2"/>
      <c r="AQ5" s="2"/>
      <c r="AR5" s="2" t="s">
        <v>21</v>
      </c>
      <c r="AS5" s="2"/>
      <c r="AT5" s="2"/>
      <c r="AU5" s="2"/>
      <c r="AV5" s="2"/>
      <c r="AW5" s="2"/>
      <c r="AX5" s="2"/>
      <c r="AY5" s="2"/>
      <c r="AZ5" s="2"/>
      <c r="BA5" s="2"/>
      <c r="BB5" s="86"/>
      <c r="BC5" s="2"/>
      <c r="BD5" s="2"/>
      <c r="BE5" s="2"/>
      <c r="BF5" s="2"/>
      <c r="BG5" s="2"/>
      <c r="BH5" s="2" t="s">
        <v>21</v>
      </c>
      <c r="BI5" s="2"/>
      <c r="BJ5" s="2"/>
      <c r="BK5" s="2"/>
      <c r="BL5" s="2"/>
      <c r="BM5" s="2"/>
      <c r="BN5" s="2"/>
      <c r="BO5" s="2"/>
      <c r="BP5" s="87" t="s">
        <v>21</v>
      </c>
      <c r="BQ5" s="87"/>
      <c r="BR5" s="87"/>
      <c r="BS5" s="87" t="s">
        <v>21</v>
      </c>
      <c r="BT5" s="87"/>
      <c r="BU5" s="87"/>
      <c r="BV5" s="88" t="s">
        <v>21</v>
      </c>
      <c r="BY5" s="88" t="s">
        <v>21</v>
      </c>
      <c r="CB5" s="88" t="s">
        <v>21</v>
      </c>
    </row>
    <row r="6" spans="1:81" s="85" customFormat="1" ht="158.25" customHeight="1" thickBot="1">
      <c r="A6" s="4" t="s">
        <v>1</v>
      </c>
      <c r="B6" s="4" t="s">
        <v>2</v>
      </c>
      <c r="C6" s="17" t="s">
        <v>7</v>
      </c>
      <c r="D6" s="17" t="s">
        <v>8</v>
      </c>
      <c r="E6" s="4" t="s">
        <v>9</v>
      </c>
      <c r="F6" s="4" t="s">
        <v>10</v>
      </c>
      <c r="G6" s="4" t="s">
        <v>11</v>
      </c>
      <c r="H6" s="247" t="s">
        <v>254</v>
      </c>
      <c r="I6" s="4" t="s">
        <v>190</v>
      </c>
      <c r="J6" s="18" t="s">
        <v>27</v>
      </c>
      <c r="K6" s="246" t="s">
        <v>28</v>
      </c>
      <c r="L6" s="246" t="s">
        <v>29</v>
      </c>
      <c r="M6" s="20" t="s">
        <v>139</v>
      </c>
      <c r="N6" s="4" t="s">
        <v>31</v>
      </c>
      <c r="O6" s="20" t="s">
        <v>12</v>
      </c>
      <c r="P6" s="20" t="s">
        <v>13</v>
      </c>
      <c r="Q6" s="4" t="s">
        <v>32</v>
      </c>
      <c r="R6" s="4" t="s">
        <v>14</v>
      </c>
      <c r="S6" s="4" t="s">
        <v>15</v>
      </c>
      <c r="T6" s="4" t="s">
        <v>16</v>
      </c>
      <c r="U6" s="4" t="s">
        <v>33</v>
      </c>
      <c r="V6" s="4" t="s">
        <v>34</v>
      </c>
      <c r="W6" s="4" t="s">
        <v>35</v>
      </c>
      <c r="X6" s="4" t="s">
        <v>36</v>
      </c>
      <c r="Y6" s="4" t="s">
        <v>37</v>
      </c>
      <c r="Z6" s="4" t="s">
        <v>3</v>
      </c>
      <c r="AA6" s="21" t="s">
        <v>191</v>
      </c>
      <c r="AB6" s="21" t="s">
        <v>192</v>
      </c>
      <c r="AC6" s="21" t="s">
        <v>38</v>
      </c>
      <c r="AD6" s="21" t="s">
        <v>39</v>
      </c>
      <c r="AE6" s="21" t="s">
        <v>40</v>
      </c>
      <c r="AF6" s="21" t="s">
        <v>41</v>
      </c>
      <c r="AG6" s="22" t="s">
        <v>42</v>
      </c>
      <c r="AH6" s="22" t="s">
        <v>43</v>
      </c>
      <c r="AI6" s="89" t="s">
        <v>140</v>
      </c>
      <c r="AJ6" s="89"/>
      <c r="AK6" s="25" t="s">
        <v>44</v>
      </c>
      <c r="AL6" s="25" t="s">
        <v>17</v>
      </c>
      <c r="AM6" s="25" t="s">
        <v>45</v>
      </c>
      <c r="AN6" s="25" t="s">
        <v>46</v>
      </c>
      <c r="AO6" s="26" t="s">
        <v>198</v>
      </c>
      <c r="AP6" s="26"/>
      <c r="AQ6" s="26"/>
      <c r="AR6" s="26" t="s">
        <v>215</v>
      </c>
      <c r="AS6" s="90"/>
      <c r="AT6" s="90"/>
      <c r="AU6" s="26" t="s">
        <v>216</v>
      </c>
      <c r="AV6" s="26"/>
      <c r="AW6" s="26"/>
      <c r="AX6" s="91" t="s">
        <v>217</v>
      </c>
      <c r="AY6" s="91"/>
      <c r="AZ6" s="92"/>
      <c r="BA6" s="26" t="s">
        <v>218</v>
      </c>
      <c r="BB6" s="93"/>
      <c r="BC6" s="92"/>
      <c r="BD6" s="91" t="s">
        <v>219</v>
      </c>
      <c r="BE6" s="26"/>
      <c r="BF6" s="31"/>
      <c r="BG6" s="26" t="s">
        <v>220</v>
      </c>
      <c r="BH6" s="26"/>
      <c r="BI6" s="26"/>
      <c r="BJ6" s="26" t="s">
        <v>221</v>
      </c>
      <c r="BK6" s="94"/>
      <c r="BL6" s="94"/>
      <c r="BM6" s="26" t="s">
        <v>222</v>
      </c>
      <c r="BN6" s="26"/>
      <c r="BO6" s="26"/>
      <c r="BP6" s="26" t="s">
        <v>259</v>
      </c>
      <c r="BQ6" s="26"/>
      <c r="BR6" s="26"/>
      <c r="BS6" s="26" t="s">
        <v>47</v>
      </c>
      <c r="BT6" s="26"/>
      <c r="BU6" s="31"/>
      <c r="BV6" s="26" t="s">
        <v>48</v>
      </c>
      <c r="BW6" s="26"/>
      <c r="BX6" s="26"/>
      <c r="BY6" s="26" t="s">
        <v>49</v>
      </c>
      <c r="BZ6" s="26"/>
      <c r="CA6" s="26"/>
      <c r="CB6" s="26" t="s">
        <v>50</v>
      </c>
      <c r="CC6" s="95"/>
    </row>
    <row r="7" spans="1:81" s="100" customFormat="1" ht="15.75" customHeight="1">
      <c r="A7" s="96" t="s">
        <v>4</v>
      </c>
      <c r="B7" s="96" t="s">
        <v>5</v>
      </c>
      <c r="C7" s="96">
        <v>100</v>
      </c>
      <c r="D7" s="96">
        <v>6</v>
      </c>
      <c r="E7" s="96">
        <v>84</v>
      </c>
      <c r="F7" s="96">
        <v>10</v>
      </c>
      <c r="G7" s="96">
        <v>10</v>
      </c>
      <c r="H7" s="96"/>
      <c r="I7" s="96"/>
      <c r="J7" s="96" t="s">
        <v>51</v>
      </c>
      <c r="K7" s="96" t="s">
        <v>183</v>
      </c>
      <c r="L7" s="96" t="s">
        <v>184</v>
      </c>
      <c r="M7" s="96" t="s">
        <v>141</v>
      </c>
      <c r="N7" s="96" t="s">
        <v>52</v>
      </c>
      <c r="O7" s="96" t="s">
        <v>53</v>
      </c>
      <c r="P7" s="96" t="s">
        <v>54</v>
      </c>
      <c r="Q7" s="96" t="s">
        <v>55</v>
      </c>
      <c r="R7" s="96" t="s">
        <v>56</v>
      </c>
      <c r="S7" s="96" t="s">
        <v>57</v>
      </c>
      <c r="T7" s="96" t="s">
        <v>52</v>
      </c>
      <c r="U7" s="96" t="s">
        <v>58</v>
      </c>
      <c r="V7" s="96" t="s">
        <v>55</v>
      </c>
      <c r="W7" s="96" t="s">
        <v>52</v>
      </c>
      <c r="X7" s="96" t="s">
        <v>59</v>
      </c>
      <c r="Y7" s="96" t="s">
        <v>60</v>
      </c>
      <c r="Z7" s="97" t="s">
        <v>61</v>
      </c>
      <c r="AA7" s="96">
        <v>50</v>
      </c>
      <c r="AB7" s="96"/>
      <c r="AC7" s="96"/>
      <c r="AD7" s="96"/>
      <c r="AE7" s="96"/>
      <c r="AF7" s="96"/>
      <c r="AG7" s="96"/>
      <c r="AH7" s="97"/>
      <c r="AI7" s="39" t="s">
        <v>18</v>
      </c>
      <c r="AJ7" s="40"/>
      <c r="AK7" s="98" t="s">
        <v>62</v>
      </c>
      <c r="AL7" s="41" t="s">
        <v>63</v>
      </c>
      <c r="AM7" s="96" t="s">
        <v>64</v>
      </c>
      <c r="AN7" s="97" t="s">
        <v>65</v>
      </c>
      <c r="AO7" s="39" t="s">
        <v>66</v>
      </c>
      <c r="AP7" s="40"/>
      <c r="AQ7" s="99"/>
      <c r="AR7" s="188" t="s">
        <v>66</v>
      </c>
      <c r="AS7" s="189"/>
      <c r="AT7" s="167"/>
      <c r="AU7" s="188" t="s">
        <v>66</v>
      </c>
      <c r="AV7" s="189"/>
      <c r="AW7" s="190"/>
      <c r="AX7" s="188" t="s">
        <v>66</v>
      </c>
      <c r="AY7" s="189"/>
      <c r="AZ7" s="190"/>
      <c r="BA7" s="191" t="s">
        <v>66</v>
      </c>
      <c r="BB7" s="192"/>
      <c r="BC7" s="190"/>
      <c r="BD7" s="188" t="s">
        <v>66</v>
      </c>
      <c r="BE7" s="189"/>
      <c r="BF7" s="99"/>
      <c r="BG7" s="191" t="s">
        <v>66</v>
      </c>
      <c r="BH7" s="40"/>
      <c r="BI7" s="99"/>
      <c r="BJ7" s="188" t="s">
        <v>66</v>
      </c>
      <c r="BK7" s="101"/>
      <c r="BM7" s="191" t="s">
        <v>66</v>
      </c>
      <c r="BN7" s="192"/>
      <c r="BO7" s="102"/>
      <c r="BP7" s="188" t="s">
        <v>66</v>
      </c>
      <c r="BQ7" s="40"/>
      <c r="BR7" s="99"/>
      <c r="BS7" s="188" t="s">
        <v>66</v>
      </c>
      <c r="BT7" s="189"/>
      <c r="BU7" s="190"/>
      <c r="BV7" s="188" t="s">
        <v>66</v>
      </c>
      <c r="BW7" s="189"/>
      <c r="BX7" s="190"/>
      <c r="BY7" s="188" t="s">
        <v>66</v>
      </c>
      <c r="BZ7" s="189"/>
      <c r="CA7" s="190"/>
      <c r="CB7" s="188" t="s">
        <v>66</v>
      </c>
      <c r="CC7" s="40"/>
    </row>
    <row r="8" spans="1:81" s="100" customFormat="1" ht="15" customHeight="1">
      <c r="A8" s="96" t="s">
        <v>4</v>
      </c>
      <c r="B8" s="96" t="s">
        <v>5</v>
      </c>
      <c r="C8" s="96">
        <v>100</v>
      </c>
      <c r="D8" s="96">
        <v>6</v>
      </c>
      <c r="E8" s="96">
        <v>84</v>
      </c>
      <c r="F8" s="96">
        <v>10</v>
      </c>
      <c r="G8" s="96">
        <v>10</v>
      </c>
      <c r="H8" s="96"/>
      <c r="I8" s="96"/>
      <c r="J8" s="96" t="s">
        <v>51</v>
      </c>
      <c r="K8" s="37"/>
      <c r="L8" s="37"/>
      <c r="M8" s="96" t="s">
        <v>141</v>
      </c>
      <c r="N8" s="96" t="s">
        <v>6</v>
      </c>
      <c r="O8" s="96"/>
      <c r="P8" s="96" t="s">
        <v>54</v>
      </c>
      <c r="Q8" s="96" t="s">
        <v>55</v>
      </c>
      <c r="R8" s="96"/>
      <c r="S8" s="96"/>
      <c r="T8" s="96" t="s">
        <v>6</v>
      </c>
      <c r="U8" s="96"/>
      <c r="V8" s="96"/>
      <c r="W8" s="96"/>
      <c r="X8" s="96"/>
      <c r="Y8" s="96"/>
      <c r="Z8" s="97"/>
      <c r="AA8" s="96"/>
      <c r="AB8" s="96"/>
      <c r="AC8" s="96"/>
      <c r="AD8" s="96"/>
      <c r="AE8" s="96"/>
      <c r="AF8" s="96"/>
      <c r="AG8" s="96"/>
      <c r="AH8" s="97"/>
      <c r="AI8" s="46" t="s">
        <v>67</v>
      </c>
      <c r="AJ8" s="47">
        <v>100</v>
      </c>
      <c r="AK8" s="98" t="s">
        <v>68</v>
      </c>
      <c r="AL8" s="41" t="s">
        <v>69</v>
      </c>
      <c r="AM8" s="96" t="s">
        <v>70</v>
      </c>
      <c r="AN8" s="97" t="s">
        <v>71</v>
      </c>
      <c r="AO8" s="172" t="s">
        <v>99</v>
      </c>
      <c r="AP8" s="179" t="s">
        <v>51</v>
      </c>
      <c r="AQ8" s="105"/>
      <c r="AR8" s="172" t="s">
        <v>99</v>
      </c>
      <c r="AS8" s="179" t="s">
        <v>51</v>
      </c>
      <c r="AU8" s="172" t="s">
        <v>99</v>
      </c>
      <c r="AV8" s="179" t="s">
        <v>51</v>
      </c>
      <c r="AW8" s="105"/>
      <c r="AX8" s="172" t="s">
        <v>99</v>
      </c>
      <c r="AY8" s="179" t="s">
        <v>223</v>
      </c>
      <c r="AZ8" s="105"/>
      <c r="BA8" s="172" t="s">
        <v>99</v>
      </c>
      <c r="BB8" s="179" t="s">
        <v>223</v>
      </c>
      <c r="BC8" s="105"/>
      <c r="BD8" s="172" t="s">
        <v>99</v>
      </c>
      <c r="BE8" s="179" t="s">
        <v>223</v>
      </c>
      <c r="BF8" s="107"/>
      <c r="BG8" s="172" t="s">
        <v>99</v>
      </c>
      <c r="BH8" s="179" t="s">
        <v>223</v>
      </c>
      <c r="BI8" s="105"/>
      <c r="BJ8" s="172" t="s">
        <v>99</v>
      </c>
      <c r="BK8" s="179" t="s">
        <v>223</v>
      </c>
      <c r="BM8" s="172" t="s">
        <v>99</v>
      </c>
      <c r="BN8" s="179" t="s">
        <v>223</v>
      </c>
      <c r="BO8" s="105"/>
      <c r="BP8" s="172" t="s">
        <v>99</v>
      </c>
      <c r="BQ8" s="179" t="s">
        <v>223</v>
      </c>
      <c r="BR8" s="105"/>
      <c r="BS8" s="169"/>
      <c r="BT8" s="168"/>
      <c r="BU8" s="230"/>
      <c r="BV8" s="169"/>
      <c r="BW8" s="168"/>
      <c r="BX8" s="230"/>
      <c r="BY8" s="169"/>
      <c r="BZ8" s="168"/>
      <c r="CA8" s="230"/>
      <c r="CB8" s="169"/>
      <c r="CC8" s="104"/>
    </row>
    <row r="9" spans="1:81" s="100" customFormat="1" ht="18.75" customHeight="1">
      <c r="A9" s="96" t="s">
        <v>4</v>
      </c>
      <c r="B9" s="96" t="s">
        <v>5</v>
      </c>
      <c r="C9" s="96">
        <v>100</v>
      </c>
      <c r="D9" s="96">
        <v>6</v>
      </c>
      <c r="E9" s="96">
        <v>84</v>
      </c>
      <c r="F9" s="96">
        <v>10</v>
      </c>
      <c r="G9" s="96">
        <v>10</v>
      </c>
      <c r="H9" s="96"/>
      <c r="I9" s="96"/>
      <c r="J9" s="96" t="s">
        <v>51</v>
      </c>
      <c r="K9" s="37"/>
      <c r="L9" s="37"/>
      <c r="M9" s="96" t="s">
        <v>141</v>
      </c>
      <c r="N9" s="96" t="s">
        <v>6</v>
      </c>
      <c r="O9" s="96"/>
      <c r="P9" s="96" t="s">
        <v>54</v>
      </c>
      <c r="Q9" s="96" t="s">
        <v>55</v>
      </c>
      <c r="R9" s="96"/>
      <c r="S9" s="96"/>
      <c r="T9" s="96" t="s">
        <v>72</v>
      </c>
      <c r="U9" s="96" t="s">
        <v>73</v>
      </c>
      <c r="V9" s="96" t="s">
        <v>74</v>
      </c>
      <c r="W9" s="96"/>
      <c r="X9" s="96"/>
      <c r="Y9" s="96"/>
      <c r="Z9" s="97"/>
      <c r="AA9" s="96"/>
      <c r="AB9" s="96"/>
      <c r="AC9" s="96"/>
      <c r="AD9" s="96"/>
      <c r="AE9" s="96"/>
      <c r="AF9" s="96"/>
      <c r="AG9" s="96"/>
      <c r="AH9" s="97"/>
      <c r="AI9" s="52" t="s">
        <v>75</v>
      </c>
      <c r="AJ9" s="53">
        <v>13</v>
      </c>
      <c r="AK9" s="98" t="s">
        <v>76</v>
      </c>
      <c r="AL9" s="41" t="s">
        <v>77</v>
      </c>
      <c r="AM9" s="96" t="s">
        <v>78</v>
      </c>
      <c r="AN9" s="97" t="s">
        <v>79</v>
      </c>
      <c r="AO9" s="170" t="s">
        <v>202</v>
      </c>
      <c r="AP9" s="171">
        <v>100</v>
      </c>
      <c r="AQ9" s="105"/>
      <c r="AR9" s="170" t="s">
        <v>202</v>
      </c>
      <c r="AS9" s="171">
        <v>100</v>
      </c>
      <c r="AU9" s="170" t="s">
        <v>202</v>
      </c>
      <c r="AV9" s="168">
        <v>100</v>
      </c>
      <c r="AW9" s="105"/>
      <c r="AX9" s="170" t="s">
        <v>202</v>
      </c>
      <c r="AY9" s="168">
        <v>100</v>
      </c>
      <c r="AZ9" s="105"/>
      <c r="BA9" s="170" t="s">
        <v>202</v>
      </c>
      <c r="BB9" s="168">
        <v>100</v>
      </c>
      <c r="BC9" s="105"/>
      <c r="BD9" s="170" t="s">
        <v>202</v>
      </c>
      <c r="BE9" s="168">
        <v>100</v>
      </c>
      <c r="BF9" s="107"/>
      <c r="BG9" s="170" t="s">
        <v>202</v>
      </c>
      <c r="BH9" s="171">
        <v>100</v>
      </c>
      <c r="BI9" s="105"/>
      <c r="BJ9" s="170" t="s">
        <v>202</v>
      </c>
      <c r="BK9" s="171">
        <v>100</v>
      </c>
      <c r="BM9" s="170" t="s">
        <v>202</v>
      </c>
      <c r="BN9" s="168">
        <v>100</v>
      </c>
      <c r="BO9" s="105"/>
      <c r="BP9" s="170" t="s">
        <v>202</v>
      </c>
      <c r="BQ9" s="168">
        <v>100</v>
      </c>
      <c r="BR9" s="105"/>
      <c r="BS9" s="169" t="s">
        <v>80</v>
      </c>
      <c r="BT9" s="168">
        <v>3</v>
      </c>
      <c r="BU9" s="230"/>
      <c r="BV9" s="166"/>
      <c r="BW9" s="168"/>
      <c r="BX9" s="230"/>
      <c r="BY9" s="166"/>
      <c r="BZ9" s="168"/>
      <c r="CA9" s="230"/>
      <c r="CB9" s="166"/>
      <c r="CC9" s="104"/>
    </row>
    <row r="10" spans="1:81" s="100" customFormat="1" ht="12.95" customHeight="1" thickBot="1">
      <c r="A10" s="96" t="s">
        <v>4</v>
      </c>
      <c r="B10" s="96" t="s">
        <v>5</v>
      </c>
      <c r="C10" s="96">
        <v>100</v>
      </c>
      <c r="D10" s="96">
        <v>4</v>
      </c>
      <c r="E10" s="96">
        <v>60</v>
      </c>
      <c r="F10" s="96">
        <v>7</v>
      </c>
      <c r="G10" s="96">
        <v>7</v>
      </c>
      <c r="H10" s="96">
        <v>7</v>
      </c>
      <c r="I10" s="96">
        <v>0</v>
      </c>
      <c r="J10" s="96" t="s">
        <v>242</v>
      </c>
      <c r="K10" s="37" t="s">
        <v>260</v>
      </c>
      <c r="L10" s="37" t="s">
        <v>260</v>
      </c>
      <c r="M10" s="96" t="s">
        <v>247</v>
      </c>
      <c r="N10" s="96" t="s">
        <v>6</v>
      </c>
      <c r="O10" s="96"/>
      <c r="P10" s="96" t="s">
        <v>158</v>
      </c>
      <c r="Q10" s="96" t="s">
        <v>162</v>
      </c>
      <c r="R10" s="96"/>
      <c r="S10" s="96"/>
      <c r="T10" s="96" t="s">
        <v>6</v>
      </c>
      <c r="U10" s="96"/>
      <c r="V10" s="96"/>
      <c r="W10" s="96" t="s">
        <v>6</v>
      </c>
      <c r="X10" s="96"/>
      <c r="Y10" s="96"/>
      <c r="Z10" s="97" t="s">
        <v>3</v>
      </c>
      <c r="AA10" s="96"/>
      <c r="AB10" s="96"/>
      <c r="AC10" s="96"/>
      <c r="AD10" s="96"/>
      <c r="AE10" s="96"/>
      <c r="AF10" s="96"/>
      <c r="AG10" s="96"/>
      <c r="AH10" s="97"/>
      <c r="AI10" s="54">
        <f t="shared" ref="AI10:AI15" si="0">(C10-(H10*2))/2</f>
        <v>43</v>
      </c>
      <c r="AJ10" s="55">
        <f>(AJ8-13*2)/2</f>
        <v>37</v>
      </c>
      <c r="AK10" s="108">
        <v>25</v>
      </c>
      <c r="AL10" s="96">
        <v>1</v>
      </c>
      <c r="AM10" s="96">
        <v>20</v>
      </c>
      <c r="AN10" s="97">
        <v>10</v>
      </c>
      <c r="AO10" s="170" t="s">
        <v>207</v>
      </c>
      <c r="AP10" s="171">
        <v>10</v>
      </c>
      <c r="AQ10" s="105"/>
      <c r="AR10" s="170" t="s">
        <v>207</v>
      </c>
      <c r="AS10" s="171">
        <v>10</v>
      </c>
      <c r="AU10" s="170" t="s">
        <v>207</v>
      </c>
      <c r="AV10" s="168">
        <v>15</v>
      </c>
      <c r="AW10" s="105"/>
      <c r="AX10" s="170" t="s">
        <v>207</v>
      </c>
      <c r="AY10" s="168">
        <v>15</v>
      </c>
      <c r="AZ10" s="105"/>
      <c r="BA10" s="170" t="s">
        <v>207</v>
      </c>
      <c r="BB10" s="168">
        <v>15</v>
      </c>
      <c r="BC10" s="105"/>
      <c r="BD10" s="170" t="s">
        <v>207</v>
      </c>
      <c r="BE10" s="168">
        <v>15</v>
      </c>
      <c r="BF10" s="107"/>
      <c r="BG10" s="170" t="s">
        <v>207</v>
      </c>
      <c r="BH10" s="171">
        <v>15</v>
      </c>
      <c r="BI10" s="105"/>
      <c r="BJ10" s="170" t="s">
        <v>207</v>
      </c>
      <c r="BK10" s="171">
        <v>15</v>
      </c>
      <c r="BM10" s="170" t="s">
        <v>207</v>
      </c>
      <c r="BN10" s="168">
        <v>15</v>
      </c>
      <c r="BO10" s="105"/>
      <c r="BP10" s="170" t="s">
        <v>207</v>
      </c>
      <c r="BQ10" s="168">
        <v>15</v>
      </c>
      <c r="BR10" s="105"/>
      <c r="BS10" s="169" t="s">
        <v>84</v>
      </c>
      <c r="BT10" s="168">
        <v>30</v>
      </c>
      <c r="BU10" s="167"/>
      <c r="BV10" s="166" t="s">
        <v>85</v>
      </c>
      <c r="BW10" s="168">
        <v>20</v>
      </c>
      <c r="BX10" s="190"/>
      <c r="BY10" s="166" t="s">
        <v>85</v>
      </c>
      <c r="BZ10" s="168">
        <v>20</v>
      </c>
      <c r="CA10" s="190"/>
      <c r="CB10" s="166" t="s">
        <v>85</v>
      </c>
      <c r="CC10" s="104">
        <v>20</v>
      </c>
    </row>
    <row r="11" spans="1:81" s="100" customFormat="1" ht="12.95" customHeight="1">
      <c r="A11" s="96" t="s">
        <v>4</v>
      </c>
      <c r="B11" s="96" t="s">
        <v>5</v>
      </c>
      <c r="C11" s="96">
        <v>84</v>
      </c>
      <c r="D11" s="96">
        <v>4</v>
      </c>
      <c r="E11" s="96">
        <v>40</v>
      </c>
      <c r="F11" s="96">
        <v>7</v>
      </c>
      <c r="G11" s="96">
        <v>7</v>
      </c>
      <c r="H11" s="96">
        <v>7</v>
      </c>
      <c r="I11" s="96">
        <v>0</v>
      </c>
      <c r="J11" s="96" t="s">
        <v>242</v>
      </c>
      <c r="K11" s="37" t="s">
        <v>61</v>
      </c>
      <c r="L11" s="37" t="s">
        <v>61</v>
      </c>
      <c r="M11" s="96" t="s">
        <v>247</v>
      </c>
      <c r="N11" s="96" t="s">
        <v>6</v>
      </c>
      <c r="O11" s="96"/>
      <c r="P11" s="96" t="s">
        <v>159</v>
      </c>
      <c r="Q11" s="96" t="s">
        <v>162</v>
      </c>
      <c r="R11" s="96"/>
      <c r="S11" s="96"/>
      <c r="T11" s="96" t="s">
        <v>6</v>
      </c>
      <c r="U11" s="96"/>
      <c r="V11" s="96"/>
      <c r="W11" s="96" t="s">
        <v>6</v>
      </c>
      <c r="X11" s="96"/>
      <c r="Y11" s="96"/>
      <c r="Z11" s="97" t="s">
        <v>3</v>
      </c>
      <c r="AA11" s="96"/>
      <c r="AB11" s="96"/>
      <c r="AC11" s="96"/>
      <c r="AD11" s="96"/>
      <c r="AE11" s="96"/>
      <c r="AF11" s="96"/>
      <c r="AG11" s="96"/>
      <c r="AH11" s="96"/>
      <c r="AI11" s="109">
        <f t="shared" si="0"/>
        <v>35</v>
      </c>
      <c r="AJ11" s="109"/>
      <c r="AK11" s="96">
        <v>25</v>
      </c>
      <c r="AL11" s="96">
        <v>1</v>
      </c>
      <c r="AM11" s="96">
        <v>20</v>
      </c>
      <c r="AN11" s="97">
        <v>10</v>
      </c>
      <c r="AO11" s="170" t="s">
        <v>206</v>
      </c>
      <c r="AP11" s="171">
        <v>96</v>
      </c>
      <c r="AQ11" s="105"/>
      <c r="AR11" s="170" t="s">
        <v>206</v>
      </c>
      <c r="AS11" s="171">
        <v>96</v>
      </c>
      <c r="AU11" s="170" t="s">
        <v>206</v>
      </c>
      <c r="AV11" s="168">
        <v>120</v>
      </c>
      <c r="AW11" s="105"/>
      <c r="AX11" s="170" t="s">
        <v>206</v>
      </c>
      <c r="AY11" s="168">
        <v>130</v>
      </c>
      <c r="AZ11" s="105"/>
      <c r="BA11" s="170" t="s">
        <v>206</v>
      </c>
      <c r="BB11" s="168">
        <v>130</v>
      </c>
      <c r="BC11" s="105"/>
      <c r="BD11" s="170" t="s">
        <v>206</v>
      </c>
      <c r="BE11" s="168">
        <v>130</v>
      </c>
      <c r="BF11" s="107"/>
      <c r="BG11" s="170" t="s">
        <v>206</v>
      </c>
      <c r="BH11" s="171">
        <v>130</v>
      </c>
      <c r="BI11" s="105"/>
      <c r="BJ11" s="170" t="s">
        <v>206</v>
      </c>
      <c r="BK11" s="171">
        <v>130</v>
      </c>
      <c r="BM11" s="170" t="s">
        <v>206</v>
      </c>
      <c r="BN11" s="168">
        <v>130</v>
      </c>
      <c r="BO11" s="105"/>
      <c r="BP11" s="170" t="s">
        <v>206</v>
      </c>
      <c r="BQ11" s="168">
        <v>130</v>
      </c>
      <c r="BR11" s="105"/>
      <c r="BS11" s="169">
        <f>ROUND(AL11*35,2)</f>
        <v>35</v>
      </c>
      <c r="BT11" s="168"/>
      <c r="BU11" s="230"/>
      <c r="BV11" s="166" t="s">
        <v>87</v>
      </c>
      <c r="BW11" s="168" t="s">
        <v>53</v>
      </c>
      <c r="BX11" s="230"/>
      <c r="BY11" s="166" t="s">
        <v>87</v>
      </c>
      <c r="BZ11" s="168" t="s">
        <v>53</v>
      </c>
      <c r="CA11" s="230"/>
      <c r="CB11" s="166" t="s">
        <v>88</v>
      </c>
      <c r="CC11" s="104" t="s">
        <v>53</v>
      </c>
    </row>
    <row r="12" spans="1:81" s="85" customFormat="1" ht="12.95" customHeight="1">
      <c r="A12" s="110" t="s">
        <v>4</v>
      </c>
      <c r="B12" s="110" t="s">
        <v>5</v>
      </c>
      <c r="C12" s="110">
        <v>79</v>
      </c>
      <c r="D12" s="110">
        <v>4</v>
      </c>
      <c r="E12" s="110">
        <v>40</v>
      </c>
      <c r="F12" s="110">
        <v>7</v>
      </c>
      <c r="G12" s="110">
        <v>7</v>
      </c>
      <c r="H12" s="110">
        <v>7</v>
      </c>
      <c r="I12" s="110">
        <v>0</v>
      </c>
      <c r="J12" s="110" t="s">
        <v>242</v>
      </c>
      <c r="K12" s="37" t="s">
        <v>61</v>
      </c>
      <c r="L12" s="37" t="s">
        <v>61</v>
      </c>
      <c r="M12" s="110" t="s">
        <v>247</v>
      </c>
      <c r="N12" s="110" t="s">
        <v>6</v>
      </c>
      <c r="O12" s="110"/>
      <c r="P12" s="110" t="s">
        <v>159</v>
      </c>
      <c r="Q12" s="110" t="s">
        <v>163</v>
      </c>
      <c r="R12" s="110"/>
      <c r="S12" s="110"/>
      <c r="T12" s="110" t="s">
        <v>52</v>
      </c>
      <c r="U12" s="110" t="s">
        <v>58</v>
      </c>
      <c r="V12" s="110" t="s">
        <v>261</v>
      </c>
      <c r="W12" s="110" t="s">
        <v>6</v>
      </c>
      <c r="X12" s="110"/>
      <c r="Y12" s="110"/>
      <c r="Z12" s="111" t="s">
        <v>3</v>
      </c>
      <c r="AA12" s="110"/>
      <c r="AB12" s="110"/>
      <c r="AC12" s="110"/>
      <c r="AD12" s="110"/>
      <c r="AE12" s="110"/>
      <c r="AF12" s="110"/>
      <c r="AG12" s="110"/>
      <c r="AH12" s="110"/>
      <c r="AI12" s="96">
        <f t="shared" si="0"/>
        <v>32.5</v>
      </c>
      <c r="AJ12" s="110"/>
      <c r="AK12" s="110">
        <v>25</v>
      </c>
      <c r="AL12" s="110">
        <v>1</v>
      </c>
      <c r="AM12" s="110">
        <v>20</v>
      </c>
      <c r="AN12" s="111">
        <v>10</v>
      </c>
      <c r="AO12" s="170">
        <f>((C12-(I12*2))*1.5+(AM12*2)+((AD12+AF12+AE12)*2)*AL12)/36*2</f>
        <v>8.8055555555555554</v>
      </c>
      <c r="AP12" s="171">
        <v>4</v>
      </c>
      <c r="AQ12" s="105"/>
      <c r="AR12" s="170" t="s">
        <v>210</v>
      </c>
      <c r="AS12" s="171">
        <v>4</v>
      </c>
      <c r="AU12" s="170" t="s">
        <v>210</v>
      </c>
      <c r="AV12" s="171">
        <v>4</v>
      </c>
      <c r="AW12" s="105"/>
      <c r="AX12" s="170" t="s">
        <v>210</v>
      </c>
      <c r="AY12" s="171">
        <v>4</v>
      </c>
      <c r="AZ12" s="105"/>
      <c r="BA12" s="170" t="s">
        <v>210</v>
      </c>
      <c r="BB12" s="171">
        <v>4</v>
      </c>
      <c r="BC12" s="105"/>
      <c r="BD12" s="170" t="s">
        <v>210</v>
      </c>
      <c r="BE12" s="171">
        <v>4</v>
      </c>
      <c r="BF12" s="107"/>
      <c r="BG12" s="170" t="s">
        <v>210</v>
      </c>
      <c r="BH12" s="171">
        <v>4</v>
      </c>
      <c r="BI12" s="105"/>
      <c r="BJ12" s="170" t="s">
        <v>210</v>
      </c>
      <c r="BK12" s="171">
        <v>4</v>
      </c>
      <c r="BM12" s="170" t="s">
        <v>210</v>
      </c>
      <c r="BN12" s="171">
        <v>4</v>
      </c>
      <c r="BO12" s="105"/>
      <c r="BP12" s="170">
        <f>(((C12-H12*2)*1.5)+(AN12+AD12)*2)*AL12/36</f>
        <v>3.2638888888888888</v>
      </c>
      <c r="BQ12" s="171">
        <v>4</v>
      </c>
      <c r="BR12" s="105"/>
      <c r="BS12" s="169">
        <f>ROUND(AL12*35,2)</f>
        <v>35</v>
      </c>
      <c r="BT12" s="168"/>
      <c r="BU12" s="230"/>
      <c r="BV12" s="170" t="s">
        <v>90</v>
      </c>
      <c r="BW12" s="171">
        <v>15</v>
      </c>
      <c r="BX12" s="173"/>
      <c r="BY12" s="170" t="s">
        <v>90</v>
      </c>
      <c r="BZ12" s="171">
        <v>15</v>
      </c>
      <c r="CA12" s="173"/>
      <c r="CB12" s="170" t="s">
        <v>91</v>
      </c>
      <c r="CC12" s="48">
        <v>15</v>
      </c>
    </row>
    <row r="13" spans="1:81" s="85" customFormat="1" ht="12.95" customHeight="1">
      <c r="A13" s="110" t="s">
        <v>262</v>
      </c>
      <c r="B13" s="110" t="s">
        <v>5</v>
      </c>
      <c r="C13" s="110">
        <v>100</v>
      </c>
      <c r="D13" s="110">
        <v>6</v>
      </c>
      <c r="E13" s="110">
        <v>60</v>
      </c>
      <c r="F13" s="110">
        <v>7</v>
      </c>
      <c r="G13" s="110">
        <v>7</v>
      </c>
      <c r="H13" s="110">
        <v>7</v>
      </c>
      <c r="I13" s="110">
        <v>0</v>
      </c>
      <c r="J13" s="110" t="s">
        <v>242</v>
      </c>
      <c r="K13" s="56" t="s">
        <v>61</v>
      </c>
      <c r="L13" s="56" t="s">
        <v>61</v>
      </c>
      <c r="M13" s="110" t="s">
        <v>247</v>
      </c>
      <c r="N13" s="110" t="s">
        <v>6</v>
      </c>
      <c r="O13" s="110"/>
      <c r="P13" s="110" t="s">
        <v>158</v>
      </c>
      <c r="Q13" s="110" t="s">
        <v>162</v>
      </c>
      <c r="R13" s="110"/>
      <c r="S13" s="110"/>
      <c r="T13" s="110" t="s">
        <v>52</v>
      </c>
      <c r="U13" s="110" t="s">
        <v>58</v>
      </c>
      <c r="V13" s="110" t="s">
        <v>261</v>
      </c>
      <c r="W13" s="110" t="s">
        <v>6</v>
      </c>
      <c r="X13" s="110"/>
      <c r="Y13" s="110"/>
      <c r="Z13" s="111" t="s">
        <v>3</v>
      </c>
      <c r="AA13" s="110"/>
      <c r="AB13" s="110"/>
      <c r="AC13" s="110"/>
      <c r="AD13" s="110"/>
      <c r="AE13" s="110"/>
      <c r="AF13" s="110"/>
      <c r="AG13" s="110"/>
      <c r="AH13" s="110"/>
      <c r="AI13" s="110">
        <f t="shared" si="0"/>
        <v>43</v>
      </c>
      <c r="AJ13" s="110"/>
      <c r="AK13" s="110">
        <v>25</v>
      </c>
      <c r="AL13" s="110">
        <v>1</v>
      </c>
      <c r="AM13" s="110">
        <v>20</v>
      </c>
      <c r="AN13" s="111">
        <v>10</v>
      </c>
      <c r="AO13" s="170">
        <f>((C13-(I13*2))*1.5+(AM13*2)+((AD13+AF13+AE13)*2)*AL13)/36*2</f>
        <v>10.555555555555555</v>
      </c>
      <c r="AP13" s="177">
        <v>4</v>
      </c>
      <c r="AQ13" s="105"/>
      <c r="AR13" s="170" t="s">
        <v>211</v>
      </c>
      <c r="AS13" s="177">
        <v>4</v>
      </c>
      <c r="AU13" s="170" t="s">
        <v>211</v>
      </c>
      <c r="AV13" s="177">
        <v>4</v>
      </c>
      <c r="AW13" s="105"/>
      <c r="AX13" s="170" t="s">
        <v>211</v>
      </c>
      <c r="AY13" s="177">
        <v>4</v>
      </c>
      <c r="AZ13" s="105"/>
      <c r="BA13" s="170" t="s">
        <v>211</v>
      </c>
      <c r="BB13" s="177">
        <v>4</v>
      </c>
      <c r="BC13" s="105"/>
      <c r="BD13" s="170" t="s">
        <v>211</v>
      </c>
      <c r="BE13" s="177">
        <v>4</v>
      </c>
      <c r="BF13" s="107"/>
      <c r="BG13" s="170" t="s">
        <v>211</v>
      </c>
      <c r="BH13" s="177">
        <v>4</v>
      </c>
      <c r="BI13" s="105"/>
      <c r="BJ13" s="170" t="s">
        <v>211</v>
      </c>
      <c r="BK13" s="177">
        <v>4</v>
      </c>
      <c r="BM13" s="170" t="s">
        <v>211</v>
      </c>
      <c r="BN13" s="177">
        <v>4</v>
      </c>
      <c r="BO13" s="105"/>
      <c r="BP13" s="170">
        <f>(((C13-H13*2)*1.5)+(AN13+AD13)*2)*AL13/36</f>
        <v>4.1388888888888893</v>
      </c>
      <c r="BQ13" s="177">
        <v>4</v>
      </c>
      <c r="BR13" s="99"/>
      <c r="BS13" s="169">
        <f>ROUND(AL13*35,2)</f>
        <v>35</v>
      </c>
      <c r="BT13" s="168"/>
      <c r="BU13" s="230"/>
      <c r="BV13" s="169">
        <f>10.5555555555556*25</f>
        <v>263.88888888888999</v>
      </c>
      <c r="BW13" s="168"/>
      <c r="BX13" s="230"/>
      <c r="BY13" s="169"/>
      <c r="BZ13" s="168"/>
      <c r="CA13" s="230"/>
      <c r="CB13" s="169"/>
      <c r="CC13" s="104"/>
    </row>
    <row r="14" spans="1:81" s="85" customFormat="1" ht="12.95" customHeight="1">
      <c r="A14" s="110" t="s">
        <v>263</v>
      </c>
      <c r="B14" s="110" t="s">
        <v>5</v>
      </c>
      <c r="C14" s="110">
        <v>100</v>
      </c>
      <c r="D14" s="110">
        <v>5</v>
      </c>
      <c r="E14" s="110">
        <v>52</v>
      </c>
      <c r="F14" s="110">
        <v>7</v>
      </c>
      <c r="G14" s="110">
        <v>7</v>
      </c>
      <c r="H14" s="110">
        <v>7</v>
      </c>
      <c r="I14" s="110">
        <v>0</v>
      </c>
      <c r="J14" s="110" t="s">
        <v>242</v>
      </c>
      <c r="K14" s="8" t="s">
        <v>264</v>
      </c>
      <c r="L14" s="8" t="s">
        <v>264</v>
      </c>
      <c r="M14" s="110" t="s">
        <v>247</v>
      </c>
      <c r="N14" s="110" t="s">
        <v>6</v>
      </c>
      <c r="O14" s="110"/>
      <c r="P14" s="110" t="s">
        <v>158</v>
      </c>
      <c r="Q14" s="110" t="s">
        <v>162</v>
      </c>
      <c r="R14" s="110"/>
      <c r="S14" s="110"/>
      <c r="T14" s="110" t="s">
        <v>52</v>
      </c>
      <c r="U14" s="110" t="s">
        <v>58</v>
      </c>
      <c r="V14" s="110"/>
      <c r="W14" s="110" t="s">
        <v>6</v>
      </c>
      <c r="X14" s="110"/>
      <c r="Y14" s="110"/>
      <c r="Z14" s="111" t="s">
        <v>3</v>
      </c>
      <c r="AA14" s="110"/>
      <c r="AB14" s="110"/>
      <c r="AC14" s="110"/>
      <c r="AD14" s="110"/>
      <c r="AE14" s="110"/>
      <c r="AF14" s="110"/>
      <c r="AG14" s="110"/>
      <c r="AH14" s="110"/>
      <c r="AI14" s="110">
        <f t="shared" si="0"/>
        <v>43</v>
      </c>
      <c r="AJ14" s="110"/>
      <c r="AK14" s="110">
        <v>25</v>
      </c>
      <c r="AL14" s="110">
        <v>1</v>
      </c>
      <c r="AM14" s="110">
        <v>20</v>
      </c>
      <c r="AN14" s="111">
        <v>10</v>
      </c>
      <c r="AO14" s="170">
        <f>((C14-(I14*2))*1.5+(AM14*2)+((AD14+AF14+AE14)*2)*AL14)/36*2</f>
        <v>10.555555555555555</v>
      </c>
      <c r="AP14" s="177">
        <v>15</v>
      </c>
      <c r="AQ14" s="105"/>
      <c r="AR14" s="170" t="s">
        <v>212</v>
      </c>
      <c r="AS14" s="177">
        <v>7</v>
      </c>
      <c r="AU14" s="170" t="s">
        <v>212</v>
      </c>
      <c r="AV14" s="177">
        <v>15</v>
      </c>
      <c r="AW14" s="105"/>
      <c r="AX14" s="170" t="s">
        <v>212</v>
      </c>
      <c r="AY14" s="177">
        <v>15</v>
      </c>
      <c r="AZ14" s="105"/>
      <c r="BA14" s="170" t="s">
        <v>212</v>
      </c>
      <c r="BB14" s="177">
        <v>15</v>
      </c>
      <c r="BC14" s="105"/>
      <c r="BD14" s="170" t="s">
        <v>212</v>
      </c>
      <c r="BE14" s="177">
        <v>15</v>
      </c>
      <c r="BF14" s="107"/>
      <c r="BG14" s="170" t="s">
        <v>212</v>
      </c>
      <c r="BH14" s="177">
        <v>15</v>
      </c>
      <c r="BI14" s="105"/>
      <c r="BJ14" s="170" t="s">
        <v>212</v>
      </c>
      <c r="BK14" s="177">
        <v>15</v>
      </c>
      <c r="BM14" s="170" t="s">
        <v>212</v>
      </c>
      <c r="BN14" s="177">
        <v>15</v>
      </c>
      <c r="BO14" s="105"/>
      <c r="BP14" s="170">
        <f>(((C14-H14*2)*1.5)+(AN14+AD14)*2)*AL14/36</f>
        <v>4.1388888888888893</v>
      </c>
      <c r="BQ14" s="177">
        <v>15</v>
      </c>
      <c r="BR14" s="105"/>
      <c r="BS14" s="169">
        <f>ROUND(AL14*35,2)</f>
        <v>35</v>
      </c>
      <c r="BT14" s="168"/>
      <c r="BU14" s="230"/>
      <c r="BV14" s="169">
        <f>10.5555555555556*25</f>
        <v>263.88888888888999</v>
      </c>
      <c r="BW14" s="168"/>
      <c r="BX14" s="230"/>
      <c r="BY14" s="169"/>
      <c r="BZ14" s="168"/>
      <c r="CA14" s="230"/>
      <c r="CB14" s="169"/>
      <c r="CC14" s="104"/>
    </row>
    <row r="15" spans="1:81" s="85" customFormat="1" ht="12.95" customHeight="1">
      <c r="A15" s="110" t="s">
        <v>265</v>
      </c>
      <c r="B15" s="110" t="s">
        <v>5</v>
      </c>
      <c r="C15" s="110">
        <v>82</v>
      </c>
      <c r="D15" s="110">
        <v>4</v>
      </c>
      <c r="E15" s="110">
        <v>40</v>
      </c>
      <c r="F15" s="110">
        <v>7</v>
      </c>
      <c r="G15" s="110">
        <v>7</v>
      </c>
      <c r="H15" s="110">
        <v>7</v>
      </c>
      <c r="I15" s="110">
        <v>0</v>
      </c>
      <c r="J15" s="110" t="s">
        <v>242</v>
      </c>
      <c r="K15" s="8" t="s">
        <v>266</v>
      </c>
      <c r="L15" s="8" t="s">
        <v>266</v>
      </c>
      <c r="M15" s="110" t="s">
        <v>247</v>
      </c>
      <c r="N15" s="110" t="s">
        <v>6</v>
      </c>
      <c r="O15" s="110"/>
      <c r="P15" s="110" t="s">
        <v>158</v>
      </c>
      <c r="Q15" s="110" t="s">
        <v>163</v>
      </c>
      <c r="R15" s="110"/>
      <c r="S15" s="110"/>
      <c r="T15" s="110" t="s">
        <v>52</v>
      </c>
      <c r="U15" s="110" t="s">
        <v>58</v>
      </c>
      <c r="V15" s="110"/>
      <c r="W15" s="110" t="s">
        <v>6</v>
      </c>
      <c r="X15" s="110"/>
      <c r="Y15" s="110"/>
      <c r="Z15" s="111" t="s">
        <v>3</v>
      </c>
      <c r="AA15" s="110"/>
      <c r="AB15" s="110"/>
      <c r="AC15" s="110"/>
      <c r="AD15" s="110"/>
      <c r="AE15" s="110"/>
      <c r="AF15" s="110"/>
      <c r="AG15" s="110"/>
      <c r="AH15" s="110"/>
      <c r="AI15" s="110">
        <f t="shared" si="0"/>
        <v>34</v>
      </c>
      <c r="AJ15" s="110"/>
      <c r="AK15" s="110">
        <v>25</v>
      </c>
      <c r="AL15" s="110">
        <v>1</v>
      </c>
      <c r="AM15" s="110">
        <v>20</v>
      </c>
      <c r="AN15" s="111">
        <v>10</v>
      </c>
      <c r="AO15" s="170">
        <f>((C15-(I15*2))*1.5+(AM15*2)+((AD15+AF15+AE15)*2)*AL15)/36*2</f>
        <v>9.0555555555555554</v>
      </c>
      <c r="AP15" s="177">
        <f>AP14-AP12</f>
        <v>11</v>
      </c>
      <c r="AQ15" s="105"/>
      <c r="AR15" s="170" t="s">
        <v>213</v>
      </c>
      <c r="AS15" s="177">
        <f>AS14-AS12</f>
        <v>3</v>
      </c>
      <c r="AU15" s="170" t="s">
        <v>213</v>
      </c>
      <c r="AV15" s="177">
        <f>AV14-AV12</f>
        <v>11</v>
      </c>
      <c r="AW15" s="105"/>
      <c r="AX15" s="170" t="s">
        <v>213</v>
      </c>
      <c r="AY15" s="177">
        <f>AY14-AY12</f>
        <v>11</v>
      </c>
      <c r="AZ15" s="105"/>
      <c r="BA15" s="170" t="s">
        <v>213</v>
      </c>
      <c r="BB15" s="177">
        <f>BB14-BB12</f>
        <v>11</v>
      </c>
      <c r="BC15" s="105"/>
      <c r="BD15" s="170" t="s">
        <v>213</v>
      </c>
      <c r="BE15" s="177">
        <f>BE14-BE12</f>
        <v>11</v>
      </c>
      <c r="BF15" s="107"/>
      <c r="BG15" s="170" t="s">
        <v>213</v>
      </c>
      <c r="BH15" s="177">
        <f>BH14-BH12</f>
        <v>11</v>
      </c>
      <c r="BI15" s="105"/>
      <c r="BJ15" s="170" t="s">
        <v>213</v>
      </c>
      <c r="BK15" s="177">
        <f>BK14-BK12</f>
        <v>11</v>
      </c>
      <c r="BM15" s="170" t="s">
        <v>213</v>
      </c>
      <c r="BN15" s="177">
        <f>BN14-BN12</f>
        <v>11</v>
      </c>
      <c r="BO15" s="105"/>
      <c r="BP15" s="170">
        <f>(((C15-H15*2)*1.5)+(AN15+AD15)*2)*AL15/36</f>
        <v>3.3888888888888888</v>
      </c>
      <c r="BQ15" s="177">
        <f>BQ14-BQ12</f>
        <v>11</v>
      </c>
      <c r="BR15" s="105"/>
      <c r="BS15" s="103">
        <f>ROUND(AL15*35,2)</f>
        <v>35</v>
      </c>
      <c r="BT15" s="104"/>
      <c r="BU15" s="113"/>
      <c r="BV15" s="103">
        <f>9.05555555555556*25</f>
        <v>226.38888888888903</v>
      </c>
      <c r="BW15" s="104"/>
      <c r="BX15" s="105"/>
      <c r="BY15" s="103"/>
      <c r="BZ15" s="104"/>
      <c r="CA15" s="105"/>
      <c r="CB15" s="103"/>
      <c r="CC15" s="104"/>
    </row>
    <row r="16" spans="1:81" s="85" customFormat="1" ht="12.95" customHeight="1">
      <c r="A16" s="110"/>
      <c r="B16" s="110"/>
      <c r="C16" s="110"/>
      <c r="D16" s="110"/>
      <c r="E16" s="110"/>
      <c r="F16" s="110"/>
      <c r="G16" s="110"/>
      <c r="H16" s="110"/>
      <c r="I16" s="110"/>
      <c r="J16" s="110"/>
      <c r="K16" s="8"/>
      <c r="L16" s="8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1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1"/>
      <c r="AO16" s="172" t="s">
        <v>86</v>
      </c>
      <c r="AP16" s="171">
        <v>1.5</v>
      </c>
      <c r="AQ16" s="105"/>
      <c r="AR16" s="172" t="s">
        <v>86</v>
      </c>
      <c r="AS16" s="171">
        <v>1.5</v>
      </c>
      <c r="AU16" s="169" t="s">
        <v>142</v>
      </c>
      <c r="AV16" s="168">
        <v>1.5</v>
      </c>
      <c r="AW16" s="105"/>
      <c r="AX16" s="169" t="s">
        <v>142</v>
      </c>
      <c r="AY16" s="168">
        <v>2</v>
      </c>
      <c r="AZ16" s="105"/>
      <c r="BA16" s="169" t="s">
        <v>142</v>
      </c>
      <c r="BB16" s="168">
        <v>2</v>
      </c>
      <c r="BC16" s="105"/>
      <c r="BD16" s="169" t="s">
        <v>142</v>
      </c>
      <c r="BE16" s="168">
        <v>2</v>
      </c>
      <c r="BF16" s="107"/>
      <c r="BG16" s="172" t="s">
        <v>86</v>
      </c>
      <c r="BH16" s="171">
        <v>2</v>
      </c>
      <c r="BI16" s="105"/>
      <c r="BJ16" s="172" t="s">
        <v>86</v>
      </c>
      <c r="BK16" s="171">
        <v>2</v>
      </c>
      <c r="BM16" s="169" t="s">
        <v>142</v>
      </c>
      <c r="BN16" s="168">
        <v>2</v>
      </c>
      <c r="BO16" s="105"/>
      <c r="BP16" s="169" t="s">
        <v>142</v>
      </c>
      <c r="BQ16" s="168">
        <v>2</v>
      </c>
      <c r="BR16" s="115"/>
      <c r="BS16" s="112"/>
      <c r="BT16" s="114"/>
      <c r="BU16" s="115"/>
      <c r="BV16" s="112"/>
      <c r="BW16" s="114"/>
      <c r="BX16" s="115"/>
      <c r="BY16" s="112"/>
      <c r="BZ16" s="114"/>
      <c r="CA16" s="115"/>
      <c r="CB16" s="112"/>
      <c r="CC16" s="114"/>
    </row>
    <row r="17" spans="1:81" s="85" customFormat="1" ht="12.95" customHeight="1">
      <c r="A17" s="110"/>
      <c r="B17" s="110"/>
      <c r="C17" s="110"/>
      <c r="D17" s="110"/>
      <c r="E17" s="110"/>
      <c r="F17" s="110"/>
      <c r="G17" s="110"/>
      <c r="H17" s="110"/>
      <c r="I17" s="110"/>
      <c r="J17" s="110"/>
      <c r="K17" s="8"/>
      <c r="L17" s="8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1"/>
      <c r="AA17" s="110"/>
      <c r="AB17" s="110"/>
      <c r="AC17" s="110"/>
      <c r="AD17" s="110"/>
      <c r="AE17" s="110"/>
      <c r="AF17" s="110"/>
      <c r="AG17" s="110"/>
      <c r="AH17" s="110"/>
      <c r="AI17" s="110">
        <f>(C11-(H11*2))/2</f>
        <v>35</v>
      </c>
      <c r="AJ17" s="110"/>
      <c r="AK17" s="110"/>
      <c r="AL17" s="110"/>
      <c r="AM17" s="110"/>
      <c r="AN17" s="111"/>
      <c r="AO17" s="172" t="s">
        <v>89</v>
      </c>
      <c r="AP17" s="171">
        <v>25</v>
      </c>
      <c r="AQ17" s="105"/>
      <c r="AR17" s="172" t="s">
        <v>89</v>
      </c>
      <c r="AS17" s="171">
        <v>25</v>
      </c>
      <c r="AU17" s="169" t="s">
        <v>89</v>
      </c>
      <c r="AV17" s="168">
        <v>25</v>
      </c>
      <c r="AW17" s="105"/>
      <c r="AX17" s="169" t="s">
        <v>89</v>
      </c>
      <c r="AY17" s="168">
        <v>30</v>
      </c>
      <c r="AZ17" s="105"/>
      <c r="BA17" s="169" t="s">
        <v>89</v>
      </c>
      <c r="BB17" s="168">
        <v>30</v>
      </c>
      <c r="BC17" s="105"/>
      <c r="BD17" s="169" t="s">
        <v>89</v>
      </c>
      <c r="BE17" s="168">
        <v>30</v>
      </c>
      <c r="BF17" s="107"/>
      <c r="BG17" s="172" t="s">
        <v>89</v>
      </c>
      <c r="BH17" s="171">
        <v>30</v>
      </c>
      <c r="BI17" s="105"/>
      <c r="BJ17" s="172" t="s">
        <v>89</v>
      </c>
      <c r="BK17" s="171">
        <v>30</v>
      </c>
      <c r="BM17" s="169" t="s">
        <v>89</v>
      </c>
      <c r="BN17" s="168">
        <v>30</v>
      </c>
      <c r="BO17" s="105"/>
      <c r="BP17" s="169" t="s">
        <v>89</v>
      </c>
      <c r="BQ17" s="168">
        <v>30</v>
      </c>
      <c r="BR17" s="115"/>
      <c r="BS17" s="112"/>
      <c r="BT17" s="114"/>
      <c r="BU17" s="115"/>
      <c r="BV17" s="112"/>
      <c r="BW17" s="114"/>
      <c r="BX17" s="115"/>
      <c r="BY17" s="112"/>
      <c r="BZ17" s="114"/>
      <c r="CA17" s="115"/>
      <c r="CB17" s="112"/>
      <c r="CC17" s="114"/>
    </row>
    <row r="18" spans="1:81" s="85" customFormat="1" ht="12.95" customHeight="1">
      <c r="A18" s="110"/>
      <c r="B18" s="110"/>
      <c r="C18" s="110"/>
      <c r="D18" s="110"/>
      <c r="E18" s="110"/>
      <c r="F18" s="110"/>
      <c r="G18" s="110"/>
      <c r="H18" s="110"/>
      <c r="I18" s="110"/>
      <c r="J18" s="110"/>
      <c r="K18" s="8"/>
      <c r="L18" s="8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1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1"/>
      <c r="AO18" s="172" t="s">
        <v>143</v>
      </c>
      <c r="AP18" s="171">
        <v>20</v>
      </c>
      <c r="AQ18" s="115"/>
      <c r="AR18" s="172" t="s">
        <v>143</v>
      </c>
      <c r="AS18" s="171">
        <v>20</v>
      </c>
      <c r="AU18" s="169" t="s">
        <v>144</v>
      </c>
      <c r="AV18" s="168">
        <v>20</v>
      </c>
      <c r="AW18" s="115"/>
      <c r="AX18" s="169" t="s">
        <v>144</v>
      </c>
      <c r="AY18" s="168">
        <v>25</v>
      </c>
      <c r="AZ18" s="118"/>
      <c r="BA18" s="169" t="s">
        <v>144</v>
      </c>
      <c r="BB18" s="168">
        <v>25</v>
      </c>
      <c r="BC18" s="115"/>
      <c r="BD18" s="169" t="s">
        <v>144</v>
      </c>
      <c r="BE18" s="168">
        <v>25</v>
      </c>
      <c r="BF18" s="119"/>
      <c r="BG18" s="172" t="s">
        <v>143</v>
      </c>
      <c r="BH18" s="171">
        <v>25</v>
      </c>
      <c r="BI18" s="115"/>
      <c r="BJ18" s="172" t="s">
        <v>143</v>
      </c>
      <c r="BK18" s="171">
        <v>25</v>
      </c>
      <c r="BM18" s="169" t="s">
        <v>144</v>
      </c>
      <c r="BN18" s="168">
        <v>25</v>
      </c>
      <c r="BO18" s="120"/>
      <c r="BP18" s="169" t="s">
        <v>144</v>
      </c>
      <c r="BQ18" s="168">
        <v>25</v>
      </c>
      <c r="BR18" s="121"/>
      <c r="BS18" s="112"/>
      <c r="BT18" s="116"/>
      <c r="BV18" s="112"/>
      <c r="BW18" s="116"/>
      <c r="BX18" s="121"/>
      <c r="BY18" s="112"/>
      <c r="BZ18" s="116"/>
      <c r="CA18" s="121"/>
      <c r="CB18" s="112"/>
      <c r="CC18" s="116"/>
    </row>
    <row r="19" spans="1:81" s="85" customFormat="1" ht="12.95" customHeight="1" thickBot="1">
      <c r="A19" s="110"/>
      <c r="B19" s="110"/>
      <c r="C19" s="110"/>
      <c r="D19" s="110"/>
      <c r="E19" s="110"/>
      <c r="F19" s="110"/>
      <c r="G19" s="110"/>
      <c r="H19" s="110"/>
      <c r="I19" s="110"/>
      <c r="J19" s="110"/>
      <c r="K19" s="8"/>
      <c r="L19" s="8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1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1"/>
      <c r="AO19" s="172" t="s">
        <v>145</v>
      </c>
      <c r="AP19" s="171">
        <v>2</v>
      </c>
      <c r="AQ19" s="115"/>
      <c r="AR19" s="172" t="s">
        <v>145</v>
      </c>
      <c r="AS19" s="171">
        <v>2</v>
      </c>
      <c r="AU19" s="169" t="s">
        <v>146</v>
      </c>
      <c r="AV19" s="168">
        <v>2</v>
      </c>
      <c r="AW19" s="115"/>
      <c r="AX19" s="169" t="s">
        <v>146</v>
      </c>
      <c r="AY19" s="168">
        <v>2</v>
      </c>
      <c r="BA19" s="169" t="s">
        <v>146</v>
      </c>
      <c r="BB19" s="168">
        <v>2</v>
      </c>
      <c r="BC19" s="115"/>
      <c r="BD19" s="169" t="s">
        <v>146</v>
      </c>
      <c r="BE19" s="168">
        <v>2</v>
      </c>
      <c r="BF19" s="128"/>
      <c r="BG19" s="172" t="s">
        <v>145</v>
      </c>
      <c r="BH19" s="171">
        <v>2</v>
      </c>
      <c r="BI19" s="115"/>
      <c r="BJ19" s="172" t="s">
        <v>145</v>
      </c>
      <c r="BK19" s="171">
        <v>2</v>
      </c>
      <c r="BM19" s="169" t="s">
        <v>146</v>
      </c>
      <c r="BN19" s="168">
        <v>2</v>
      </c>
      <c r="BO19" s="129"/>
      <c r="BP19" s="198" t="s">
        <v>224</v>
      </c>
      <c r="BQ19" s="199">
        <v>12</v>
      </c>
      <c r="BR19" s="121"/>
      <c r="BS19" s="112"/>
      <c r="BT19" s="116"/>
      <c r="BV19" s="112"/>
      <c r="BW19" s="116"/>
      <c r="BX19" s="121"/>
      <c r="BY19" s="112"/>
      <c r="BZ19" s="116"/>
      <c r="CA19" s="121"/>
      <c r="CB19" s="112"/>
      <c r="CC19" s="116"/>
    </row>
    <row r="20" spans="1:81" s="85" customFormat="1" ht="12.95" customHeight="1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8"/>
      <c r="L20" s="8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1"/>
      <c r="AO20" s="172" t="s">
        <v>147</v>
      </c>
      <c r="AP20" s="171">
        <v>0.5</v>
      </c>
      <c r="AQ20" s="115"/>
      <c r="AR20" s="172" t="s">
        <v>147</v>
      </c>
      <c r="AS20" s="171">
        <v>0.5</v>
      </c>
      <c r="AT20" s="131"/>
      <c r="AU20" s="169" t="s">
        <v>148</v>
      </c>
      <c r="AV20" s="168">
        <v>0.5</v>
      </c>
      <c r="AW20" s="110"/>
      <c r="AX20" s="169" t="s">
        <v>148</v>
      </c>
      <c r="AY20" s="168">
        <v>0.5</v>
      </c>
      <c r="AZ20" s="115"/>
      <c r="BA20" s="169" t="s">
        <v>148</v>
      </c>
      <c r="BB20" s="168">
        <v>0.5</v>
      </c>
      <c r="BC20" s="115"/>
      <c r="BD20" s="169" t="s">
        <v>148</v>
      </c>
      <c r="BE20" s="168">
        <v>0.5</v>
      </c>
      <c r="BF20" s="110"/>
      <c r="BG20" s="172" t="s">
        <v>147</v>
      </c>
      <c r="BH20" s="171">
        <v>0.5</v>
      </c>
      <c r="BI20" s="110"/>
      <c r="BJ20" s="172" t="s">
        <v>147</v>
      </c>
      <c r="BK20" s="171">
        <v>0.5</v>
      </c>
      <c r="BL20" s="110"/>
      <c r="BM20" s="169" t="s">
        <v>148</v>
      </c>
      <c r="BN20" s="168">
        <v>0.5</v>
      </c>
      <c r="BO20" s="197"/>
      <c r="BP20" s="169" t="s">
        <v>146</v>
      </c>
      <c r="BQ20" s="168">
        <v>2</v>
      </c>
      <c r="BR20" s="231"/>
      <c r="BS20" s="112"/>
      <c r="BT20" s="116"/>
      <c r="BU20" s="124"/>
      <c r="BV20" s="112"/>
      <c r="BW20" s="116"/>
      <c r="BX20" s="121"/>
      <c r="BY20" s="112"/>
      <c r="BZ20" s="116"/>
      <c r="CA20" s="121"/>
      <c r="CB20" s="112"/>
      <c r="CC20" s="116"/>
    </row>
    <row r="21" spans="1:81" s="85" customFormat="1" ht="12.95" customHeight="1">
      <c r="A21" s="110"/>
      <c r="B21" s="110"/>
      <c r="C21" s="110"/>
      <c r="D21" s="110"/>
      <c r="E21" s="110"/>
      <c r="F21" s="110"/>
      <c r="G21" s="110"/>
      <c r="H21" s="110"/>
      <c r="I21" s="110"/>
      <c r="J21" s="110"/>
      <c r="K21" s="8"/>
      <c r="L21" s="8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1"/>
      <c r="AO21" s="172" t="s">
        <v>149</v>
      </c>
      <c r="AP21" s="171">
        <v>1</v>
      </c>
      <c r="AQ21" s="178"/>
      <c r="AR21" s="172" t="s">
        <v>149</v>
      </c>
      <c r="AS21" s="171">
        <v>1</v>
      </c>
      <c r="AT21" s="110"/>
      <c r="AU21" s="169" t="s">
        <v>150</v>
      </c>
      <c r="AV21" s="168">
        <v>1</v>
      </c>
      <c r="AW21" s="110"/>
      <c r="AX21" s="169" t="s">
        <v>150</v>
      </c>
      <c r="AY21" s="168">
        <v>1</v>
      </c>
      <c r="AZ21" s="110"/>
      <c r="BA21" s="169" t="s">
        <v>150</v>
      </c>
      <c r="BB21" s="168">
        <v>1</v>
      </c>
      <c r="BC21" s="110"/>
      <c r="BD21" s="169" t="s">
        <v>150</v>
      </c>
      <c r="BE21" s="168">
        <v>1</v>
      </c>
      <c r="BF21" s="110"/>
      <c r="BG21" s="172" t="s">
        <v>149</v>
      </c>
      <c r="BH21" s="171">
        <v>1</v>
      </c>
      <c r="BI21" s="110"/>
      <c r="BJ21" s="172" t="s">
        <v>149</v>
      </c>
      <c r="BK21" s="171">
        <v>1</v>
      </c>
      <c r="BL21" s="110"/>
      <c r="BM21" s="169" t="s">
        <v>150</v>
      </c>
      <c r="BN21" s="168">
        <v>1</v>
      </c>
      <c r="BO21" s="111"/>
      <c r="BP21" s="169" t="s">
        <v>148</v>
      </c>
      <c r="BQ21" s="168">
        <v>0.5</v>
      </c>
      <c r="BR21" s="124"/>
      <c r="BS21" s="112"/>
      <c r="BT21" s="116"/>
      <c r="BU21" s="124"/>
      <c r="BV21" s="112"/>
      <c r="BW21" s="116"/>
      <c r="BX21" s="121"/>
      <c r="BY21" s="112"/>
      <c r="BZ21" s="116"/>
      <c r="CA21" s="121"/>
      <c r="CB21" s="112"/>
      <c r="CC21" s="116"/>
    </row>
    <row r="22" spans="1:81" s="85" customFormat="1" ht="12.95" customHeight="1">
      <c r="A22" s="110"/>
      <c r="B22" s="110"/>
      <c r="C22" s="110"/>
      <c r="D22" s="110"/>
      <c r="E22" s="110"/>
      <c r="F22" s="110"/>
      <c r="G22" s="110"/>
      <c r="H22" s="110"/>
      <c r="I22" s="110"/>
      <c r="J22" s="110"/>
      <c r="K22" s="8"/>
      <c r="L22" s="8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1"/>
      <c r="AO22" s="172" t="s">
        <v>151</v>
      </c>
      <c r="AP22" s="171">
        <v>1</v>
      </c>
      <c r="AQ22" s="178"/>
      <c r="AR22" s="172" t="s">
        <v>151</v>
      </c>
      <c r="AS22" s="171">
        <v>1</v>
      </c>
      <c r="AT22" s="110"/>
      <c r="AU22" s="169" t="s">
        <v>151</v>
      </c>
      <c r="AV22" s="168">
        <v>1</v>
      </c>
      <c r="AW22" s="110"/>
      <c r="AX22" s="169" t="s">
        <v>151</v>
      </c>
      <c r="AY22" s="168">
        <v>1.5</v>
      </c>
      <c r="AZ22" s="110"/>
      <c r="BA22" s="169" t="s">
        <v>151</v>
      </c>
      <c r="BB22" s="168">
        <v>1.5</v>
      </c>
      <c r="BC22" s="110"/>
      <c r="BD22" s="169" t="s">
        <v>151</v>
      </c>
      <c r="BE22" s="168">
        <v>3</v>
      </c>
      <c r="BF22" s="110"/>
      <c r="BG22" s="172" t="s">
        <v>151</v>
      </c>
      <c r="BH22" s="171">
        <v>2</v>
      </c>
      <c r="BI22" s="110"/>
      <c r="BJ22" s="172" t="s">
        <v>151</v>
      </c>
      <c r="BK22" s="171">
        <v>2</v>
      </c>
      <c r="BL22" s="110"/>
      <c r="BM22" s="169" t="s">
        <v>151</v>
      </c>
      <c r="BN22" s="168">
        <v>2</v>
      </c>
      <c r="BO22" s="111"/>
      <c r="BP22" s="169" t="s">
        <v>151</v>
      </c>
      <c r="BQ22" s="168">
        <v>2</v>
      </c>
      <c r="BR22" s="124"/>
      <c r="BS22" s="112"/>
      <c r="BT22" s="116"/>
      <c r="BU22" s="124"/>
      <c r="BV22" s="112"/>
      <c r="BW22" s="116"/>
      <c r="BX22" s="121"/>
      <c r="BY22" s="112"/>
      <c r="BZ22" s="116"/>
      <c r="CA22" s="121"/>
      <c r="CB22" s="112"/>
      <c r="CC22" s="116"/>
    </row>
    <row r="23" spans="1:81" ht="12" customHeight="1" thickBot="1">
      <c r="A23" s="63"/>
      <c r="B23" s="64"/>
      <c r="C23" s="6"/>
      <c r="D23" s="6"/>
      <c r="E23" s="6"/>
      <c r="F23" s="6"/>
      <c r="G23" s="6"/>
      <c r="H23" s="6"/>
      <c r="I23" s="6"/>
      <c r="J23" s="64"/>
      <c r="K23" s="8"/>
      <c r="L23" s="8"/>
      <c r="M23" s="64"/>
      <c r="N23" s="6"/>
      <c r="O23" s="6"/>
      <c r="P23" s="6"/>
      <c r="Q23" s="6"/>
      <c r="R23" s="64"/>
      <c r="S23" s="64"/>
      <c r="T23" s="64"/>
      <c r="U23" s="64"/>
      <c r="V23" s="64"/>
      <c r="W23" s="67"/>
      <c r="X23" s="64"/>
      <c r="Y23" s="64"/>
      <c r="Z23" s="64"/>
      <c r="AA23" s="64"/>
      <c r="AB23" s="64"/>
      <c r="AC23" s="6"/>
      <c r="AD23" s="6"/>
      <c r="AE23" s="64"/>
      <c r="AF23" s="6"/>
      <c r="AG23" s="6"/>
      <c r="AH23" s="6"/>
      <c r="AI23" s="6"/>
      <c r="AJ23" s="68"/>
      <c r="AK23" s="6"/>
      <c r="AL23" s="64"/>
      <c r="AM23" s="77"/>
      <c r="AN23" s="174"/>
      <c r="AO23" s="180" t="s">
        <v>81</v>
      </c>
      <c r="AP23" s="181">
        <f>(((AP9-AP15*2)*AP16+(AP18*2)+(AP19+AP20+AP21)*2)/36*2)</f>
        <v>9.1111111111111107</v>
      </c>
      <c r="AR23" s="184" t="s">
        <v>152</v>
      </c>
      <c r="AS23" s="186">
        <f>(((AS9-AS15*2)*AS16)+((AS18+AS19+AS20+AS21)*2))*AS22/36</f>
        <v>5.2222222222222223</v>
      </c>
      <c r="AT23" s="69"/>
      <c r="AU23" s="117" t="s">
        <v>152</v>
      </c>
      <c r="AV23" s="186">
        <f>(((AV9-AV15*2)*AV16)+((AV18+AV19+AV20+AV21)*2))*AV22/36</f>
        <v>4.5555555555555554</v>
      </c>
      <c r="AW23" s="70"/>
      <c r="AZ23" s="70"/>
      <c r="BA23" s="117" t="s">
        <v>152</v>
      </c>
      <c r="BB23" s="186">
        <f>(((BB9-BB15*2)*BB16)+((BB18+BB19+BB20+BB21)*2))*BB22/36</f>
        <v>8.875</v>
      </c>
      <c r="BC23" s="70"/>
      <c r="BD23" s="193" t="s">
        <v>152</v>
      </c>
      <c r="BE23" s="194">
        <f>(((BE9-BE15*2)*BE16)+((BE18+BE19+BE20+BE21)*2))*2/36</f>
        <v>11.833333333333334</v>
      </c>
      <c r="BF23" s="82"/>
      <c r="BI23" s="64"/>
      <c r="BJ23" s="184" t="s">
        <v>152</v>
      </c>
      <c r="BK23" s="186">
        <f>(((BK9-BK15*2)*BK16)+((BK18+BK19+BK20+BK21)*2))*BK22/36</f>
        <v>11.833333333333334</v>
      </c>
      <c r="BM23" s="184" t="s">
        <v>152</v>
      </c>
      <c r="BN23" s="186">
        <f>(((BN9-BN15*2)*BN16)+((BN18+BN19+BN20+BN21)*2))*BN22/36</f>
        <v>11.833333333333334</v>
      </c>
      <c r="BP23" s="200"/>
      <c r="BQ23" s="150"/>
      <c r="BS23" s="122" t="s">
        <v>153</v>
      </c>
      <c r="BT23" s="123"/>
      <c r="BU23" s="124"/>
      <c r="BV23" s="112"/>
      <c r="BW23" s="116"/>
      <c r="BX23" s="121"/>
      <c r="BY23" s="112"/>
      <c r="BZ23" s="116"/>
      <c r="CA23" s="121"/>
      <c r="CB23" s="112"/>
      <c r="CC23" s="116"/>
    </row>
    <row r="24" spans="1:81" ht="12" customHeight="1" thickBot="1">
      <c r="A24" s="63"/>
      <c r="B24" s="64"/>
      <c r="C24" s="6"/>
      <c r="D24" s="6"/>
      <c r="E24" s="6"/>
      <c r="F24" s="6"/>
      <c r="G24" s="6"/>
      <c r="H24" s="6"/>
      <c r="I24" s="6"/>
      <c r="J24" s="64"/>
      <c r="K24" s="8"/>
      <c r="L24" s="8"/>
      <c r="M24" s="64"/>
      <c r="N24" s="6"/>
      <c r="O24" s="6"/>
      <c r="P24" s="6"/>
      <c r="Q24" s="6"/>
      <c r="R24" s="64"/>
      <c r="S24" s="64"/>
      <c r="T24" s="64"/>
      <c r="U24" s="64"/>
      <c r="V24" s="64"/>
      <c r="W24" s="67"/>
      <c r="X24" s="64"/>
      <c r="Y24" s="64"/>
      <c r="Z24" s="64"/>
      <c r="AA24" s="64"/>
      <c r="AB24" s="64"/>
      <c r="AC24" s="6"/>
      <c r="AD24" s="6"/>
      <c r="AE24" s="64"/>
      <c r="AF24" s="6"/>
      <c r="AG24" s="6"/>
      <c r="AH24" s="6"/>
      <c r="AI24" s="6"/>
      <c r="AJ24" s="68"/>
      <c r="AK24" s="6"/>
      <c r="AL24" s="64"/>
      <c r="AM24" s="77"/>
      <c r="AN24" s="64"/>
      <c r="AO24" s="59"/>
      <c r="AP24" s="59"/>
      <c r="AR24" s="185" t="s">
        <v>154</v>
      </c>
      <c r="AS24" s="187">
        <f>(((AS9-AS15*2)*AS16)+((AS18+AS19+AS20+AS21)*2))*AS22/36</f>
        <v>5.2222222222222223</v>
      </c>
      <c r="AT24" s="60"/>
      <c r="AU24" s="126" t="s">
        <v>154</v>
      </c>
      <c r="AV24" s="187">
        <f>(((AV9-AV15*2)*AV16)+((AV18+AV19+AV20+AV21)*2))*AV22/36</f>
        <v>4.5555555555555554</v>
      </c>
      <c r="AW24" s="60"/>
      <c r="AX24" s="117" t="s">
        <v>152</v>
      </c>
      <c r="AY24" s="186">
        <f>(((AY9-AY15*2)*AY16)+((AY18+AY19+AY20+AY21)*2))*AY22/36*2</f>
        <v>17.75</v>
      </c>
      <c r="AZ24" s="60"/>
      <c r="BA24" s="126" t="s">
        <v>154</v>
      </c>
      <c r="BB24" s="187">
        <f>(((BB9-BB15*2)*BB16)+((BB18+BB19+BB20+BB21)*2))*BB22/36</f>
        <v>8.875</v>
      </c>
      <c r="BD24" s="195" t="s">
        <v>154</v>
      </c>
      <c r="BE24" s="196">
        <f>(((BE9-BE15*2)*BE16)+((BE18+BE19+BE20+BE21)*2))/36</f>
        <v>5.916666666666667</v>
      </c>
      <c r="BG24" s="180" t="s">
        <v>81</v>
      </c>
      <c r="BH24" s="181">
        <f>(((BH9-BH15*2)*BH16+(BH18*2)+(BH19+BH20+BH21)*2)/36*2)</f>
        <v>11.833333333333334</v>
      </c>
      <c r="BJ24" s="185" t="s">
        <v>154</v>
      </c>
      <c r="BK24" s="187">
        <f>(((BK9-BK15*2)*BK16)+((BK18+BK19+BK20+BK21)*2))*BK22/36</f>
        <v>11.833333333333334</v>
      </c>
      <c r="BM24" s="185" t="s">
        <v>154</v>
      </c>
      <c r="BN24" s="187">
        <f>(((BN9-BN15*2)*BN16)+((BN18+BN19+BN20+BN21)*2))*BN22/36</f>
        <v>11.833333333333334</v>
      </c>
      <c r="BP24" s="183" t="s">
        <v>152</v>
      </c>
      <c r="BQ24" s="187">
        <f>(((BQ9-BQ15*2)*BQ16)+(BQ19+BQ20)*2)*BQ22/36</f>
        <v>10.222222222222221</v>
      </c>
      <c r="BS24" s="125" t="s">
        <v>81</v>
      </c>
      <c r="BT24" s="130">
        <f>BT9*BT10</f>
        <v>90</v>
      </c>
      <c r="BU24" s="115"/>
      <c r="BV24" s="125" t="s">
        <v>81</v>
      </c>
      <c r="BW24" s="127">
        <f>(BW10*BW12)</f>
        <v>300</v>
      </c>
      <c r="BX24" s="121"/>
      <c r="BY24" s="125" t="s">
        <v>81</v>
      </c>
      <c r="BZ24" s="127">
        <f>(BZ10*BZ12)</f>
        <v>300</v>
      </c>
      <c r="CA24" s="121"/>
      <c r="CB24" s="125" t="s">
        <v>81</v>
      </c>
      <c r="CC24" s="127">
        <f>(CC10*CC12)</f>
        <v>300</v>
      </c>
    </row>
    <row r="25" spans="1:81">
      <c r="A25" s="203"/>
      <c r="B25" s="59"/>
      <c r="C25" s="145"/>
      <c r="D25" s="145"/>
      <c r="E25" s="145"/>
      <c r="F25" s="145"/>
      <c r="G25" s="145"/>
      <c r="H25" s="145"/>
      <c r="I25" s="145"/>
      <c r="J25" s="59"/>
      <c r="K25" s="9"/>
      <c r="L25" s="9"/>
      <c r="M25" s="59"/>
      <c r="N25" s="145"/>
      <c r="O25" s="145"/>
      <c r="P25" s="145"/>
      <c r="Q25" s="145"/>
      <c r="R25" s="59"/>
      <c r="S25" s="59"/>
      <c r="T25" s="59"/>
      <c r="U25" s="59"/>
      <c r="V25" s="59"/>
      <c r="W25" s="67"/>
      <c r="X25" s="59"/>
      <c r="Y25" s="59"/>
      <c r="Z25" s="59"/>
      <c r="AA25" s="59"/>
      <c r="AB25" s="59"/>
      <c r="AC25" s="145"/>
      <c r="AD25" s="145"/>
      <c r="AE25" s="59"/>
      <c r="AF25" s="145"/>
      <c r="AG25" s="145"/>
      <c r="AH25" s="145"/>
      <c r="AI25" s="145"/>
      <c r="AJ25" s="146"/>
      <c r="AK25" s="145"/>
      <c r="AL25" s="59"/>
      <c r="AM25" s="148"/>
      <c r="AN25" s="204"/>
      <c r="AO25" s="175" t="s">
        <v>99</v>
      </c>
      <c r="AP25" s="176" t="s">
        <v>214</v>
      </c>
      <c r="AR25" s="205"/>
      <c r="AS25" s="114"/>
      <c r="AT25" s="206"/>
      <c r="AU25" s="206"/>
      <c r="AV25" s="114"/>
      <c r="AX25" s="103"/>
      <c r="AY25" s="104"/>
      <c r="AZ25" s="206"/>
      <c r="BC25" s="206"/>
      <c r="BD25" s="103"/>
      <c r="BE25" s="106"/>
      <c r="BF25" s="206"/>
      <c r="BI25" s="60"/>
      <c r="BL25" s="60"/>
      <c r="BM25" s="60"/>
      <c r="BN25" s="60"/>
      <c r="BO25" s="60"/>
    </row>
    <row r="26" spans="1:81" s="147" customFormat="1">
      <c r="C26" s="143"/>
      <c r="D26" s="143"/>
      <c r="E26" s="143"/>
      <c r="F26" s="143"/>
      <c r="G26" s="143"/>
      <c r="H26" s="143"/>
      <c r="I26" s="143"/>
      <c r="K26" s="211"/>
      <c r="L26" s="211"/>
      <c r="N26" s="143"/>
      <c r="O26" s="143"/>
      <c r="P26" s="143"/>
      <c r="Q26" s="143"/>
      <c r="W26" s="143"/>
      <c r="AC26" s="143"/>
      <c r="AD26" s="143"/>
      <c r="AF26" s="143"/>
      <c r="AG26" s="143"/>
      <c r="AH26" s="143"/>
      <c r="AI26" s="143"/>
      <c r="AJ26" s="212"/>
      <c r="AK26" s="143"/>
      <c r="AM26" s="143"/>
      <c r="AO26" s="213">
        <f>((C26-(I26*2))*1+(AM26*2)+((AD26+AF26+AE26)*2)*AL26)/36*2</f>
        <v>0</v>
      </c>
      <c r="AP26" s="214"/>
      <c r="AQ26" s="215"/>
      <c r="AX26" s="216"/>
      <c r="AY26" s="216"/>
      <c r="BC26" s="217"/>
      <c r="BD26" s="216"/>
      <c r="BE26" s="218"/>
      <c r="BF26" s="217"/>
      <c r="BG26" s="216"/>
      <c r="BH26" s="216"/>
      <c r="BI26" s="217"/>
      <c r="BP26" s="216">
        <f>(((C26-H26*2)*1)+(AN26+AD26)*2)*AL26/36</f>
        <v>0</v>
      </c>
      <c r="BQ26" s="216"/>
      <c r="BS26" s="147">
        <f>ROUND(87.34512,2)</f>
        <v>87.35</v>
      </c>
    </row>
    <row r="27" spans="1:81" s="147" customFormat="1">
      <c r="C27" s="143"/>
      <c r="D27" s="143"/>
      <c r="E27" s="143"/>
      <c r="F27" s="143"/>
      <c r="G27" s="143"/>
      <c r="H27" s="143"/>
      <c r="I27" s="143"/>
      <c r="K27" s="211"/>
      <c r="L27" s="211"/>
      <c r="N27" s="143"/>
      <c r="O27" s="143"/>
      <c r="P27" s="143"/>
      <c r="Q27" s="143"/>
      <c r="W27" s="143"/>
      <c r="AC27" s="143"/>
      <c r="AD27" s="143"/>
      <c r="AF27" s="143"/>
      <c r="AG27" s="143"/>
      <c r="AH27" s="143"/>
      <c r="AI27" s="143"/>
      <c r="AJ27" s="212"/>
      <c r="AK27" s="143"/>
      <c r="AM27" s="143"/>
      <c r="AO27" s="213"/>
      <c r="AP27" s="214"/>
      <c r="AQ27" s="215"/>
      <c r="AV27" s="217"/>
      <c r="AX27" s="216"/>
      <c r="AY27" s="216"/>
      <c r="AZ27" s="217"/>
      <c r="BA27" s="216"/>
      <c r="BB27" s="218"/>
      <c r="BC27" s="217"/>
      <c r="BD27" s="216"/>
      <c r="BE27" s="218"/>
      <c r="BG27" s="216"/>
      <c r="BH27" s="216"/>
      <c r="BJ27" s="216"/>
      <c r="BK27" s="216"/>
      <c r="BP27" s="216"/>
      <c r="BQ27" s="216"/>
    </row>
    <row r="28" spans="1:81" s="147" customFormat="1">
      <c r="C28" s="143"/>
      <c r="D28" s="143"/>
      <c r="E28" s="143"/>
      <c r="F28" s="143"/>
      <c r="G28" s="143"/>
      <c r="H28" s="143"/>
      <c r="I28" s="143"/>
      <c r="K28" s="211"/>
      <c r="L28" s="211"/>
      <c r="N28" s="143"/>
      <c r="O28" s="143"/>
      <c r="P28" s="143"/>
      <c r="Q28" s="143"/>
      <c r="W28" s="143"/>
      <c r="AC28" s="143"/>
      <c r="AD28" s="143"/>
      <c r="AF28" s="143"/>
      <c r="AG28" s="143"/>
      <c r="AH28" s="143"/>
      <c r="AI28" s="143"/>
      <c r="AJ28" s="212"/>
      <c r="AK28" s="143"/>
      <c r="AM28" s="143"/>
      <c r="AO28" s="213"/>
      <c r="AP28" s="214"/>
      <c r="AQ28" s="215"/>
      <c r="AR28" s="217"/>
      <c r="AV28" s="143"/>
      <c r="AX28" s="216"/>
      <c r="AY28" s="216"/>
      <c r="AZ28" s="143"/>
      <c r="BA28" s="216"/>
      <c r="BB28" s="218"/>
      <c r="BC28" s="143"/>
      <c r="BD28" s="216"/>
      <c r="BE28" s="218"/>
      <c r="BF28" s="143"/>
      <c r="BG28" s="216"/>
      <c r="BH28" s="216"/>
      <c r="BJ28" s="216"/>
      <c r="BK28" s="216"/>
      <c r="BP28" s="216"/>
      <c r="BQ28" s="216"/>
    </row>
    <row r="29" spans="1:81" s="147" customFormat="1">
      <c r="K29" s="211"/>
      <c r="L29" s="211"/>
      <c r="AC29" s="143"/>
      <c r="AD29" s="143"/>
      <c r="AF29" s="143"/>
      <c r="AG29" s="143"/>
      <c r="AH29" s="143"/>
      <c r="AI29" s="143"/>
      <c r="AJ29" s="212"/>
      <c r="AK29" s="143"/>
      <c r="AM29" s="143"/>
      <c r="AO29" s="213"/>
      <c r="AP29" s="214"/>
      <c r="AQ29" s="215"/>
      <c r="AR29" s="217"/>
      <c r="AV29" s="143"/>
      <c r="AX29" s="216"/>
      <c r="AY29" s="216"/>
      <c r="AZ29" s="143"/>
      <c r="BA29" s="216"/>
      <c r="BB29" s="218"/>
      <c r="BC29" s="143"/>
      <c r="BD29" s="216"/>
      <c r="BE29" s="218"/>
      <c r="BF29" s="143"/>
      <c r="BG29" s="216"/>
      <c r="BH29" s="216"/>
      <c r="BJ29" s="216"/>
      <c r="BK29" s="216"/>
      <c r="BP29" s="216"/>
      <c r="BQ29" s="216"/>
    </row>
    <row r="30" spans="1:81" s="147" customFormat="1">
      <c r="K30" s="211"/>
      <c r="L30" s="211"/>
      <c r="AC30" s="143"/>
      <c r="AD30" s="143"/>
      <c r="AF30" s="143"/>
      <c r="AG30" s="143"/>
      <c r="AH30" s="143"/>
      <c r="AI30" s="143"/>
      <c r="AJ30" s="212"/>
      <c r="AK30" s="143"/>
      <c r="AM30" s="143"/>
      <c r="AO30" s="213"/>
      <c r="AP30" s="219"/>
      <c r="AQ30" s="215"/>
      <c r="AR30" s="217"/>
      <c r="AV30" s="143"/>
      <c r="AX30" s="216"/>
      <c r="AY30" s="216"/>
      <c r="BA30" s="216"/>
      <c r="BB30" s="218"/>
      <c r="BC30" s="143"/>
      <c r="BD30" s="216"/>
      <c r="BE30" s="218"/>
      <c r="BF30" s="143"/>
      <c r="BG30" s="216"/>
      <c r="BH30" s="216"/>
      <c r="BJ30" s="216"/>
      <c r="BK30" s="216"/>
      <c r="BP30" s="220"/>
      <c r="BQ30" s="216"/>
    </row>
    <row r="31" spans="1:81" s="147" customFormat="1">
      <c r="K31" s="211"/>
      <c r="L31" s="211"/>
      <c r="AC31" s="143"/>
      <c r="AD31" s="143"/>
      <c r="AF31" s="143"/>
      <c r="AG31" s="143"/>
      <c r="AH31" s="143"/>
      <c r="AI31" s="143"/>
      <c r="AJ31" s="212"/>
      <c r="AK31" s="143"/>
      <c r="AM31" s="143"/>
      <c r="AO31" s="213"/>
      <c r="AP31" s="219"/>
      <c r="AQ31" s="215"/>
      <c r="AR31" s="217"/>
      <c r="AV31" s="143"/>
      <c r="AX31" s="216"/>
      <c r="AY31" s="216"/>
      <c r="BA31" s="216"/>
      <c r="BB31" s="218"/>
      <c r="BC31" s="143"/>
      <c r="BD31" s="216"/>
      <c r="BE31" s="218"/>
      <c r="BF31" s="143"/>
      <c r="BG31" s="216"/>
      <c r="BH31" s="216"/>
      <c r="BJ31" s="216"/>
      <c r="BK31" s="216"/>
      <c r="BP31" s="221"/>
      <c r="BQ31" s="221"/>
    </row>
    <row r="32" spans="1:81" s="147" customFormat="1">
      <c r="K32" s="211"/>
      <c r="L32" s="211"/>
      <c r="Z32" s="215"/>
      <c r="AA32" s="215"/>
      <c r="AB32" s="215"/>
      <c r="AM32" s="215"/>
      <c r="AN32" s="215"/>
      <c r="AO32" s="213"/>
      <c r="AP32" s="219"/>
      <c r="AQ32" s="215"/>
      <c r="AR32" s="217"/>
      <c r="AV32" s="143"/>
      <c r="AX32" s="216"/>
      <c r="AY32" s="216"/>
      <c r="BA32" s="216"/>
      <c r="BB32" s="218"/>
      <c r="BC32" s="143"/>
      <c r="BD32" s="216"/>
      <c r="BE32" s="218"/>
      <c r="BF32" s="143"/>
      <c r="BG32" s="216"/>
      <c r="BH32" s="216"/>
      <c r="BJ32" s="216"/>
      <c r="BK32" s="216"/>
      <c r="BP32" s="220"/>
      <c r="BQ32" s="216"/>
    </row>
    <row r="33" spans="11:69" s="147" customFormat="1">
      <c r="K33" s="211"/>
      <c r="L33" s="211"/>
      <c r="Z33" s="215"/>
      <c r="AA33" s="215"/>
      <c r="AB33" s="215"/>
      <c r="AM33" s="215"/>
      <c r="AN33" s="215"/>
      <c r="AO33" s="214"/>
      <c r="AP33" s="214"/>
      <c r="AQ33" s="215"/>
      <c r="AR33" s="217"/>
      <c r="AV33" s="143"/>
      <c r="AX33" s="216"/>
      <c r="AY33" s="216"/>
      <c r="BA33" s="216"/>
      <c r="BB33" s="218"/>
      <c r="BC33" s="143"/>
      <c r="BD33" s="216"/>
      <c r="BE33" s="218"/>
      <c r="BF33" s="143"/>
      <c r="BG33" s="216"/>
      <c r="BH33" s="216"/>
      <c r="BJ33" s="216"/>
      <c r="BK33" s="216"/>
      <c r="BP33" s="216"/>
      <c r="BQ33" s="216"/>
    </row>
    <row r="34" spans="11:69" s="147" customFormat="1">
      <c r="K34" s="211"/>
      <c r="L34" s="211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14"/>
      <c r="AP34" s="214"/>
      <c r="AQ34" s="215"/>
      <c r="AR34" s="217"/>
      <c r="AV34" s="143"/>
      <c r="AX34" s="216"/>
      <c r="AY34" s="216"/>
      <c r="BA34" s="216"/>
      <c r="BB34" s="218"/>
      <c r="BC34" s="143"/>
      <c r="BD34" s="216"/>
      <c r="BE34" s="218"/>
      <c r="BF34" s="143"/>
      <c r="BG34" s="216"/>
      <c r="BH34" s="216"/>
      <c r="BJ34" s="216"/>
      <c r="BK34" s="216"/>
      <c r="BP34" s="220"/>
      <c r="BQ34" s="132"/>
    </row>
    <row r="35" spans="11:69" s="147" customFormat="1">
      <c r="K35" s="211"/>
      <c r="L35" s="211"/>
      <c r="AI35" s="217"/>
      <c r="AJ35" s="217"/>
      <c r="AK35" s="217"/>
      <c r="AL35" s="217"/>
      <c r="AM35" s="217"/>
      <c r="AN35" s="217"/>
      <c r="AO35" s="214"/>
      <c r="AP35" s="214"/>
      <c r="AQ35" s="215"/>
      <c r="AR35" s="217"/>
      <c r="AV35" s="143"/>
      <c r="AX35" s="223"/>
      <c r="AY35" s="223"/>
      <c r="BA35" s="216"/>
      <c r="BB35" s="218"/>
      <c r="BC35" s="143"/>
      <c r="BD35" s="216"/>
      <c r="BE35" s="224"/>
      <c r="BF35" s="143"/>
      <c r="BG35" s="216"/>
      <c r="BH35" s="216"/>
      <c r="BJ35" s="216"/>
      <c r="BK35" s="216"/>
      <c r="BP35" s="220"/>
      <c r="BQ35" s="132"/>
    </row>
    <row r="36" spans="11:69" s="147" customFormat="1">
      <c r="K36" s="211"/>
      <c r="L36" s="211"/>
      <c r="AC36" s="217"/>
      <c r="AD36" s="217"/>
      <c r="AE36" s="217"/>
      <c r="AF36" s="217"/>
      <c r="AG36" s="217"/>
      <c r="AH36" s="217"/>
      <c r="AI36" s="217"/>
      <c r="AJ36" s="217"/>
      <c r="AK36" s="217"/>
      <c r="AO36" s="214"/>
      <c r="AP36" s="214"/>
      <c r="AQ36" s="215"/>
      <c r="AR36" s="217"/>
      <c r="AV36" s="143"/>
      <c r="AX36" s="225"/>
      <c r="AY36" s="226"/>
      <c r="BA36" s="216"/>
      <c r="BB36" s="218"/>
      <c r="BC36" s="143"/>
      <c r="BD36" s="216"/>
      <c r="BE36" s="224"/>
      <c r="BF36" s="143"/>
      <c r="BG36" s="220"/>
      <c r="BH36" s="220"/>
      <c r="BJ36" s="216"/>
      <c r="BK36" s="216"/>
      <c r="BP36" s="220"/>
      <c r="BQ36" s="220"/>
    </row>
    <row r="37" spans="11:69" s="147" customFormat="1">
      <c r="K37" s="211"/>
      <c r="L37" s="211"/>
      <c r="AC37" s="143"/>
      <c r="AD37" s="143"/>
      <c r="AF37" s="143"/>
      <c r="AG37" s="143"/>
      <c r="AH37" s="143"/>
      <c r="AI37" s="143"/>
      <c r="AJ37" s="212"/>
      <c r="AK37" s="143"/>
      <c r="AO37" s="214"/>
      <c r="AP37" s="214"/>
      <c r="AQ37" s="215"/>
      <c r="AR37" s="217"/>
      <c r="AV37" s="143"/>
      <c r="AW37" s="143"/>
      <c r="AX37" s="143"/>
      <c r="AY37" s="143"/>
      <c r="BA37" s="216"/>
      <c r="BB37" s="224"/>
      <c r="BC37" s="143"/>
      <c r="BD37" s="212"/>
      <c r="BF37" s="143"/>
      <c r="BG37" s="132"/>
      <c r="BH37" s="132"/>
      <c r="BJ37" s="216"/>
      <c r="BK37" s="227"/>
      <c r="BP37" s="132"/>
      <c r="BQ37" s="220"/>
    </row>
    <row r="38" spans="11:69" s="147" customFormat="1">
      <c r="K38" s="211"/>
      <c r="L38" s="211"/>
      <c r="AC38" s="143"/>
      <c r="AD38" s="143"/>
      <c r="AF38" s="143"/>
      <c r="AG38" s="143"/>
      <c r="AH38" s="143"/>
      <c r="AI38" s="143"/>
      <c r="AJ38" s="212"/>
      <c r="AK38" s="143"/>
      <c r="AM38" s="143"/>
      <c r="AO38" s="214"/>
      <c r="AP38" s="214"/>
      <c r="AQ38" s="215"/>
      <c r="AR38" s="217"/>
      <c r="AV38" s="143"/>
      <c r="AW38" s="143"/>
      <c r="AX38" s="143"/>
      <c r="AY38" s="143"/>
      <c r="BA38" s="216"/>
      <c r="BB38" s="224"/>
      <c r="BC38" s="143"/>
      <c r="BD38" s="212"/>
      <c r="BF38" s="143"/>
      <c r="BJ38" s="216"/>
      <c r="BK38" s="132"/>
    </row>
    <row r="39" spans="11:69" s="147" customFormat="1">
      <c r="K39" s="211"/>
      <c r="L39" s="211"/>
      <c r="AC39" s="143"/>
      <c r="AD39" s="143"/>
      <c r="AF39" s="143"/>
      <c r="AG39" s="143"/>
      <c r="AH39" s="143"/>
      <c r="AI39" s="143"/>
      <c r="AJ39" s="212"/>
      <c r="AK39" s="143"/>
      <c r="AM39" s="143"/>
      <c r="AO39" s="214"/>
      <c r="AP39" s="214"/>
      <c r="AQ39" s="215"/>
      <c r="AR39" s="217"/>
      <c r="AV39" s="143"/>
      <c r="AW39" s="143"/>
      <c r="AX39" s="143"/>
      <c r="AY39" s="143"/>
      <c r="BB39" s="143"/>
      <c r="BC39" s="143"/>
      <c r="BD39" s="212"/>
      <c r="BF39" s="143"/>
    </row>
    <row r="40" spans="11:69" s="147" customFormat="1">
      <c r="K40" s="211"/>
      <c r="L40" s="211"/>
      <c r="AC40" s="143"/>
      <c r="AD40" s="143"/>
      <c r="AF40" s="143"/>
      <c r="AG40" s="143"/>
      <c r="AH40" s="143"/>
      <c r="AI40" s="143"/>
      <c r="AJ40" s="212"/>
      <c r="AK40" s="143"/>
      <c r="AM40" s="143"/>
      <c r="AO40" s="228"/>
      <c r="AP40" s="229"/>
      <c r="AQ40" s="215"/>
      <c r="AR40" s="217"/>
      <c r="AV40" s="143"/>
      <c r="AW40" s="143"/>
      <c r="AX40" s="143"/>
      <c r="AY40" s="143"/>
      <c r="BB40" s="143"/>
      <c r="BC40" s="143"/>
      <c r="BD40" s="212"/>
      <c r="BF40" s="143"/>
    </row>
    <row r="41" spans="11:69" s="147" customFormat="1">
      <c r="K41" s="211"/>
      <c r="L41" s="211"/>
      <c r="AC41" s="143"/>
      <c r="AD41" s="143"/>
      <c r="AF41" s="143"/>
      <c r="AG41" s="143"/>
      <c r="AH41" s="143"/>
      <c r="AI41" s="143"/>
      <c r="AJ41" s="212"/>
      <c r="AK41" s="143"/>
      <c r="AM41" s="143"/>
      <c r="AQ41" s="215"/>
      <c r="AR41" s="217"/>
      <c r="AV41" s="143"/>
      <c r="AW41" s="143"/>
      <c r="AX41" s="143"/>
      <c r="AY41" s="143"/>
      <c r="BB41" s="143"/>
      <c r="BC41" s="143"/>
      <c r="BD41" s="212"/>
      <c r="BF41" s="143"/>
    </row>
    <row r="42" spans="11:69" s="147" customFormat="1">
      <c r="K42" s="211"/>
      <c r="L42" s="211"/>
      <c r="AC42" s="143"/>
      <c r="AD42" s="143"/>
      <c r="AF42" s="143"/>
      <c r="AG42" s="143"/>
      <c r="AH42" s="143"/>
      <c r="AI42" s="143"/>
      <c r="AJ42" s="212"/>
      <c r="AK42" s="143"/>
      <c r="AM42" s="143"/>
      <c r="AQ42" s="215"/>
      <c r="AR42" s="217"/>
      <c r="AV42" s="143"/>
      <c r="AW42" s="143"/>
      <c r="AX42" s="143"/>
      <c r="AY42" s="143"/>
      <c r="AZ42" s="143"/>
      <c r="BA42" s="143"/>
      <c r="BB42" s="143"/>
      <c r="BC42" s="143"/>
      <c r="BD42" s="212"/>
      <c r="BF42" s="143"/>
    </row>
    <row r="43" spans="11:69" s="147" customFormat="1">
      <c r="K43" s="211"/>
      <c r="L43" s="211"/>
      <c r="AC43" s="143"/>
      <c r="AD43" s="143"/>
      <c r="AF43" s="143"/>
      <c r="AG43" s="143"/>
      <c r="AH43" s="143"/>
      <c r="AI43" s="143"/>
      <c r="AJ43" s="212"/>
      <c r="AK43" s="143"/>
      <c r="AM43" s="143"/>
      <c r="AQ43" s="215"/>
      <c r="AR43" s="217"/>
      <c r="AV43" s="143"/>
      <c r="AW43" s="143"/>
      <c r="AX43" s="143"/>
      <c r="AY43" s="143"/>
      <c r="AZ43" s="143"/>
      <c r="BA43" s="143"/>
      <c r="BB43" s="143"/>
      <c r="BC43" s="143"/>
      <c r="BD43" s="212"/>
      <c r="BF43" s="143"/>
    </row>
    <row r="44" spans="11:69">
      <c r="X44" s="207"/>
      <c r="Y44" s="208"/>
      <c r="Z44" s="208"/>
      <c r="AA44" s="208"/>
      <c r="AB44" s="208"/>
      <c r="AC44" s="7"/>
      <c r="AD44" s="7"/>
      <c r="AE44" s="208"/>
      <c r="AF44" s="7"/>
      <c r="AG44" s="7"/>
      <c r="AH44" s="7"/>
      <c r="AI44" s="7"/>
      <c r="AJ44" s="209"/>
      <c r="AK44" s="7"/>
      <c r="AL44" s="208"/>
      <c r="AM44" s="210"/>
      <c r="AN44" s="208"/>
      <c r="AO44" s="208"/>
      <c r="AP44" s="208"/>
    </row>
    <row r="45" spans="11:69">
      <c r="X45" s="63"/>
      <c r="Y45" s="64"/>
      <c r="Z45" s="64"/>
      <c r="AA45" s="64"/>
      <c r="AB45" s="64"/>
      <c r="AC45" s="6"/>
      <c r="AD45" s="6"/>
      <c r="AE45" s="64"/>
      <c r="AF45" s="6"/>
      <c r="AG45" s="6"/>
      <c r="AH45" s="6"/>
      <c r="AI45" s="6"/>
      <c r="AJ45" s="68"/>
      <c r="AK45" s="6"/>
      <c r="AL45" s="64"/>
      <c r="AM45" s="77"/>
      <c r="AN45" s="64"/>
      <c r="AO45" s="64"/>
      <c r="AP45" s="64"/>
    </row>
    <row r="46" spans="11:69" ht="16.5" thickBot="1">
      <c r="X46" s="79"/>
      <c r="Y46" s="69"/>
      <c r="Z46" s="69"/>
      <c r="AA46" s="69"/>
      <c r="AB46" s="69"/>
      <c r="AC46" s="70"/>
      <c r="AD46" s="70"/>
      <c r="AE46" s="69"/>
      <c r="AF46" s="70"/>
      <c r="AG46" s="70"/>
      <c r="AH46" s="70"/>
      <c r="AI46" s="70"/>
      <c r="AJ46" s="72"/>
      <c r="AK46" s="70"/>
      <c r="AL46" s="69"/>
      <c r="AM46" s="82"/>
      <c r="AN46" s="64"/>
      <c r="AO46" s="64"/>
      <c r="AP46" s="64"/>
    </row>
    <row r="48" spans="11:69">
      <c r="BC48" s="60"/>
      <c r="BD48" s="6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O42"/>
  <sheetViews>
    <sheetView zoomScale="74" zoomScaleNormal="74" zoomScalePageLayoutView="74" workbookViewId="0">
      <selection activeCell="C4" sqref="C4"/>
    </sheetView>
  </sheetViews>
  <sheetFormatPr defaultColWidth="13.625" defaultRowHeight="15.75"/>
  <cols>
    <col min="1" max="1" width="9.5" style="61" customWidth="1"/>
    <col min="2" max="10" width="10.5" style="61" customWidth="1"/>
    <col min="11" max="11" width="12" style="61" customWidth="1"/>
    <col min="12" max="15" width="10.5" style="61" customWidth="1"/>
    <col min="16" max="19" width="11.375" style="61" customWidth="1"/>
    <col min="20" max="20" width="17.875" style="61" customWidth="1"/>
    <col min="21" max="21" width="11.375" style="61" customWidth="1"/>
    <col min="22" max="23" width="10.375" style="61" customWidth="1"/>
    <col min="24" max="24" width="12.125" style="62" customWidth="1"/>
    <col min="25" max="25" width="14.125" style="62" customWidth="1"/>
    <col min="26" max="26" width="11.375" style="61" customWidth="1"/>
    <col min="27" max="28" width="13.625" style="61"/>
    <col min="29" max="29" width="11.625" style="61" bestFit="1" customWidth="1"/>
    <col min="30" max="30" width="13.375" style="61" customWidth="1"/>
    <col min="31" max="33" width="10.625" style="61" customWidth="1"/>
    <col min="34" max="34" width="9" style="61" customWidth="1"/>
    <col min="35" max="35" width="8.625" style="61" customWidth="1"/>
    <col min="36" max="36" width="13.625" style="61"/>
    <col min="37" max="40" width="13.625" style="62"/>
    <col min="41" max="41" width="18.625" style="62" customWidth="1"/>
    <col min="42" max="42" width="13.625" style="62"/>
    <col min="43" max="43" width="9.875" style="62" customWidth="1"/>
    <col min="44" max="44" width="11.375" style="62" customWidth="1"/>
    <col min="45" max="45" width="11.375" style="61" customWidth="1"/>
    <col min="46" max="46" width="11.125" style="61" customWidth="1"/>
    <col min="47" max="47" width="9.375" style="61" customWidth="1"/>
    <col min="48" max="49" width="13.625" style="61"/>
    <col min="50" max="50" width="14.375" style="61" bestFit="1" customWidth="1"/>
    <col min="51" max="51" width="11.875" style="61" bestFit="1" customWidth="1"/>
    <col min="52" max="52" width="12" style="61" bestFit="1" customWidth="1"/>
    <col min="53" max="53" width="11" style="61" bestFit="1" customWidth="1"/>
    <col min="54" max="54" width="8.375" style="61" customWidth="1"/>
    <col min="55" max="55" width="9.375" style="61" customWidth="1"/>
    <col min="56" max="56" width="11.875" style="61" customWidth="1"/>
    <col min="57" max="59" width="13.625" style="61"/>
    <col min="60" max="60" width="11" style="61" customWidth="1"/>
    <col min="61" max="61" width="9.875" style="61" customWidth="1"/>
    <col min="62" max="62" width="16.875" style="61" customWidth="1"/>
    <col min="63" max="63" width="10.625" style="61" customWidth="1"/>
    <col min="64" max="67" width="13.625" style="61"/>
    <col min="68" max="68" width="8.125" style="61" customWidth="1"/>
    <col min="69" max="16384" width="13.625" style="61"/>
  </cols>
  <sheetData>
    <row r="1" spans="1:62" ht="16.5" thickBot="1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60"/>
    </row>
    <row r="2" spans="1:62" ht="15.95" customHeight="1" thickBot="1">
      <c r="A2" s="298" t="s">
        <v>185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303"/>
      <c r="U2" s="62"/>
      <c r="V2" s="298" t="s">
        <v>187</v>
      </c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84"/>
      <c r="AQ2" s="300" t="s">
        <v>188</v>
      </c>
      <c r="AR2" s="301"/>
      <c r="AS2" s="301"/>
      <c r="AT2" s="301"/>
      <c r="AU2" s="301"/>
      <c r="AV2" s="301"/>
      <c r="AW2" s="301"/>
      <c r="AX2" s="301"/>
      <c r="AY2" s="301"/>
      <c r="AZ2" s="301"/>
      <c r="BA2" s="301"/>
      <c r="BB2" s="301"/>
      <c r="BC2" s="301"/>
      <c r="BD2" s="301"/>
      <c r="BE2" s="301"/>
      <c r="BF2" s="301"/>
      <c r="BG2" s="301"/>
      <c r="BH2" s="301"/>
      <c r="BI2" s="301"/>
      <c r="BJ2" s="302"/>
    </row>
    <row r="3" spans="1:62" ht="110.25">
      <c r="A3" s="63" t="s">
        <v>99</v>
      </c>
      <c r="B3" s="64" t="s">
        <v>100</v>
      </c>
      <c r="C3" s="64" t="s">
        <v>200</v>
      </c>
      <c r="D3" s="64" t="s">
        <v>201</v>
      </c>
      <c r="E3" s="37" t="s">
        <v>101</v>
      </c>
      <c r="F3" s="37" t="s">
        <v>204</v>
      </c>
      <c r="G3" s="37" t="s">
        <v>205</v>
      </c>
      <c r="H3" s="37" t="s">
        <v>104</v>
      </c>
      <c r="I3" s="37" t="s">
        <v>105</v>
      </c>
      <c r="J3" s="37" t="s">
        <v>106</v>
      </c>
      <c r="K3" s="144" t="s">
        <v>179</v>
      </c>
      <c r="L3" s="37" t="s">
        <v>128</v>
      </c>
      <c r="M3" s="37" t="s">
        <v>108</v>
      </c>
      <c r="N3" s="37" t="s">
        <v>110</v>
      </c>
      <c r="O3" s="64" t="s">
        <v>129</v>
      </c>
      <c r="P3" s="64" t="s">
        <v>130</v>
      </c>
      <c r="Q3" s="75" t="s">
        <v>131</v>
      </c>
      <c r="R3" s="75" t="s">
        <v>132</v>
      </c>
      <c r="S3" s="75" t="s">
        <v>133</v>
      </c>
      <c r="T3" s="139" t="s">
        <v>173</v>
      </c>
      <c r="V3" s="63" t="s">
        <v>115</v>
      </c>
      <c r="W3" s="64" t="s">
        <v>100</v>
      </c>
      <c r="X3" s="64" t="s">
        <v>200</v>
      </c>
      <c r="Y3" s="64" t="s">
        <v>201</v>
      </c>
      <c r="Z3" s="37" t="s">
        <v>203</v>
      </c>
      <c r="AA3" s="37" t="s">
        <v>204</v>
      </c>
      <c r="AB3" s="37" t="s">
        <v>205</v>
      </c>
      <c r="AC3" s="37" t="s">
        <v>208</v>
      </c>
      <c r="AD3" s="37" t="s">
        <v>209</v>
      </c>
      <c r="AE3" s="37" t="s">
        <v>106</v>
      </c>
      <c r="AF3" s="144" t="s">
        <v>179</v>
      </c>
      <c r="AG3" s="37" t="s">
        <v>109</v>
      </c>
      <c r="AH3" s="37" t="s">
        <v>110</v>
      </c>
      <c r="AI3" s="37" t="s">
        <v>108</v>
      </c>
      <c r="AJ3" s="64" t="s">
        <v>134</v>
      </c>
      <c r="AK3" s="64" t="s">
        <v>130</v>
      </c>
      <c r="AL3" s="75" t="s">
        <v>131</v>
      </c>
      <c r="AM3" s="75" t="s">
        <v>132</v>
      </c>
      <c r="AN3" s="75" t="s">
        <v>133</v>
      </c>
      <c r="AO3" s="139" t="s">
        <v>173</v>
      </c>
      <c r="AP3" s="61"/>
      <c r="AQ3" s="63" t="s">
        <v>115</v>
      </c>
      <c r="AR3" s="64" t="s">
        <v>100</v>
      </c>
      <c r="AS3" s="64" t="s">
        <v>200</v>
      </c>
      <c r="AT3" s="64" t="s">
        <v>201</v>
      </c>
      <c r="AU3" s="37" t="s">
        <v>203</v>
      </c>
      <c r="AV3" s="37" t="s">
        <v>204</v>
      </c>
      <c r="AW3" s="37" t="s">
        <v>205</v>
      </c>
      <c r="AX3" s="37" t="s">
        <v>208</v>
      </c>
      <c r="AY3" s="37" t="s">
        <v>209</v>
      </c>
      <c r="AZ3" s="37" t="s">
        <v>106</v>
      </c>
      <c r="BA3" s="144" t="s">
        <v>179</v>
      </c>
      <c r="BB3" s="37" t="s">
        <v>109</v>
      </c>
      <c r="BC3" s="37" t="s">
        <v>108</v>
      </c>
      <c r="BD3" s="37" t="s">
        <v>110</v>
      </c>
      <c r="BE3" s="64" t="s">
        <v>129</v>
      </c>
      <c r="BF3" s="64" t="s">
        <v>130</v>
      </c>
      <c r="BG3" s="75" t="s">
        <v>131</v>
      </c>
      <c r="BH3" s="75" t="s">
        <v>132</v>
      </c>
      <c r="BI3" s="75" t="s">
        <v>133</v>
      </c>
      <c r="BJ3" s="139" t="s">
        <v>173</v>
      </c>
    </row>
    <row r="4" spans="1:62" ht="78.75">
      <c r="A4" s="63" t="s">
        <v>118</v>
      </c>
      <c r="B4" s="64" t="s">
        <v>135</v>
      </c>
      <c r="C4" s="64">
        <v>60</v>
      </c>
      <c r="D4" s="64">
        <v>120</v>
      </c>
      <c r="E4" s="6">
        <v>10</v>
      </c>
      <c r="F4" s="6">
        <v>40</v>
      </c>
      <c r="G4" s="6">
        <v>96</v>
      </c>
      <c r="H4" s="6">
        <v>4</v>
      </c>
      <c r="I4" s="6">
        <v>4</v>
      </c>
      <c r="J4" s="6">
        <v>7</v>
      </c>
      <c r="K4" s="6">
        <f t="shared" ref="K4:K10" si="0">J4-I4</f>
        <v>3</v>
      </c>
      <c r="L4" s="6">
        <v>1.5</v>
      </c>
      <c r="M4" s="6" t="s">
        <v>136</v>
      </c>
      <c r="N4" s="6">
        <v>1</v>
      </c>
      <c r="O4" s="64">
        <v>20</v>
      </c>
      <c r="P4" s="64">
        <v>10</v>
      </c>
      <c r="Q4" s="64">
        <v>35</v>
      </c>
      <c r="R4" s="64" t="s">
        <v>137</v>
      </c>
      <c r="S4" s="64" t="s">
        <v>138</v>
      </c>
      <c r="T4" s="65" t="s">
        <v>174</v>
      </c>
      <c r="U4" s="141"/>
      <c r="V4" s="63" t="s">
        <v>120</v>
      </c>
      <c r="W4" s="64" t="s">
        <v>135</v>
      </c>
      <c r="X4" s="64">
        <v>60</v>
      </c>
      <c r="Y4" s="64">
        <v>192</v>
      </c>
      <c r="Z4" s="6">
        <v>15</v>
      </c>
      <c r="AA4" s="142">
        <v>60</v>
      </c>
      <c r="AB4" s="142">
        <v>120</v>
      </c>
      <c r="AC4" s="6">
        <v>4</v>
      </c>
      <c r="AD4" s="6">
        <v>4</v>
      </c>
      <c r="AE4" s="6">
        <v>13</v>
      </c>
      <c r="AF4" s="6">
        <f>AE4-AD4</f>
        <v>9</v>
      </c>
      <c r="AG4" s="6">
        <v>1.5</v>
      </c>
      <c r="AH4" s="68">
        <v>2</v>
      </c>
      <c r="AI4" s="6">
        <v>25</v>
      </c>
      <c r="AJ4" s="64">
        <v>20</v>
      </c>
      <c r="AK4" s="64">
        <v>10</v>
      </c>
      <c r="AL4" s="64">
        <v>17.5</v>
      </c>
      <c r="AM4" s="64" t="s">
        <v>137</v>
      </c>
      <c r="AN4" s="64" t="s">
        <v>138</v>
      </c>
      <c r="AO4" s="65" t="s">
        <v>174</v>
      </c>
      <c r="AP4" s="61"/>
      <c r="AQ4" s="63" t="s">
        <v>121</v>
      </c>
      <c r="AR4" s="64" t="s">
        <v>135</v>
      </c>
      <c r="AS4" s="64">
        <v>96</v>
      </c>
      <c r="AT4" s="64">
        <v>228</v>
      </c>
      <c r="AU4" s="6">
        <v>25</v>
      </c>
      <c r="AV4" s="6">
        <v>120</v>
      </c>
      <c r="AW4" s="6">
        <v>180</v>
      </c>
      <c r="AX4" s="6">
        <v>10</v>
      </c>
      <c r="AY4" s="6">
        <v>10</v>
      </c>
      <c r="AZ4" s="6">
        <v>18</v>
      </c>
      <c r="BA4" s="6">
        <f>AZ4-AY4</f>
        <v>8</v>
      </c>
      <c r="BB4" s="6">
        <v>1.5</v>
      </c>
      <c r="BC4" s="6">
        <v>30</v>
      </c>
      <c r="BD4" s="68">
        <v>3</v>
      </c>
      <c r="BE4" s="64">
        <v>25</v>
      </c>
      <c r="BF4" s="77">
        <v>12</v>
      </c>
      <c r="BG4" s="64">
        <v>17.5</v>
      </c>
      <c r="BH4" s="64" t="s">
        <v>137</v>
      </c>
      <c r="BI4" s="64" t="s">
        <v>138</v>
      </c>
      <c r="BJ4" s="65" t="s">
        <v>174</v>
      </c>
    </row>
    <row r="5" spans="1:62" ht="78.75">
      <c r="A5" s="63" t="s">
        <v>118</v>
      </c>
      <c r="B5" s="64" t="s">
        <v>135</v>
      </c>
      <c r="C5" s="64">
        <v>60</v>
      </c>
      <c r="D5" s="64">
        <v>120</v>
      </c>
      <c r="E5" s="6">
        <v>9</v>
      </c>
      <c r="F5" s="6">
        <v>40</v>
      </c>
      <c r="G5" s="6">
        <v>96</v>
      </c>
      <c r="H5" s="6">
        <v>5</v>
      </c>
      <c r="I5" s="6">
        <v>5</v>
      </c>
      <c r="J5" s="6">
        <v>7</v>
      </c>
      <c r="K5" s="6">
        <f t="shared" si="0"/>
        <v>2</v>
      </c>
      <c r="L5" s="6">
        <v>1.5</v>
      </c>
      <c r="M5" s="6" t="s">
        <v>136</v>
      </c>
      <c r="N5" s="6">
        <v>1</v>
      </c>
      <c r="O5" s="64">
        <v>20</v>
      </c>
      <c r="P5" s="64">
        <v>10</v>
      </c>
      <c r="Q5" s="64">
        <v>35</v>
      </c>
      <c r="R5" s="64" t="s">
        <v>137</v>
      </c>
      <c r="S5" s="64" t="s">
        <v>138</v>
      </c>
      <c r="T5" s="65" t="s">
        <v>174</v>
      </c>
      <c r="U5" s="67"/>
      <c r="V5" s="63" t="s">
        <v>120</v>
      </c>
      <c r="W5" s="64" t="s">
        <v>135</v>
      </c>
      <c r="X5" s="64">
        <v>60</v>
      </c>
      <c r="Y5" s="64">
        <v>192</v>
      </c>
      <c r="Z5" s="6">
        <v>14</v>
      </c>
      <c r="AA5" s="6">
        <v>121</v>
      </c>
      <c r="AB5" s="64">
        <v>180</v>
      </c>
      <c r="AC5" s="6">
        <v>5</v>
      </c>
      <c r="AD5" s="6">
        <v>5</v>
      </c>
      <c r="AE5" s="6">
        <v>13</v>
      </c>
      <c r="AF5" s="6">
        <f>AE5-AD5</f>
        <v>8</v>
      </c>
      <c r="AG5" s="6">
        <v>1.5</v>
      </c>
      <c r="AH5" s="68">
        <v>3</v>
      </c>
      <c r="AI5" s="6">
        <v>30</v>
      </c>
      <c r="AJ5" s="64">
        <v>25</v>
      </c>
      <c r="AK5" s="77">
        <v>12</v>
      </c>
      <c r="AL5" s="64">
        <v>17.5</v>
      </c>
      <c r="AM5" s="64" t="s">
        <v>137</v>
      </c>
      <c r="AN5" s="64" t="s">
        <v>138</v>
      </c>
      <c r="AO5" s="65" t="s">
        <v>174</v>
      </c>
      <c r="AQ5" s="63" t="s">
        <v>121</v>
      </c>
      <c r="AR5" s="64" t="s">
        <v>135</v>
      </c>
      <c r="AS5" s="64">
        <v>96</v>
      </c>
      <c r="AT5" s="64">
        <v>228</v>
      </c>
      <c r="AU5" s="6">
        <v>24</v>
      </c>
      <c r="AV5" s="6">
        <v>180</v>
      </c>
      <c r="AW5" s="6">
        <v>240</v>
      </c>
      <c r="AX5" s="6">
        <v>11</v>
      </c>
      <c r="AY5" s="6">
        <v>11</v>
      </c>
      <c r="AZ5" s="6">
        <v>18</v>
      </c>
      <c r="BA5" s="6">
        <f t="shared" ref="BA5:BA18" si="1">AZ5-AY5</f>
        <v>7</v>
      </c>
      <c r="BB5" s="6">
        <v>1.5</v>
      </c>
      <c r="BC5" s="6">
        <v>35</v>
      </c>
      <c r="BD5" s="68">
        <v>3</v>
      </c>
      <c r="BE5" s="64">
        <v>30</v>
      </c>
      <c r="BF5" s="77">
        <v>15</v>
      </c>
      <c r="BG5" s="64">
        <v>17.5</v>
      </c>
      <c r="BH5" s="64" t="s">
        <v>137</v>
      </c>
      <c r="BI5" s="64" t="s">
        <v>138</v>
      </c>
      <c r="BJ5" s="65" t="s">
        <v>174</v>
      </c>
    </row>
    <row r="6" spans="1:62" ht="78.75">
      <c r="A6" s="63" t="s">
        <v>118</v>
      </c>
      <c r="B6" s="64" t="s">
        <v>135</v>
      </c>
      <c r="C6" s="64">
        <v>60</v>
      </c>
      <c r="D6" s="64">
        <v>120</v>
      </c>
      <c r="E6" s="6">
        <v>8</v>
      </c>
      <c r="F6" s="6">
        <v>40</v>
      </c>
      <c r="G6" s="6">
        <v>96</v>
      </c>
      <c r="H6" s="6">
        <v>6</v>
      </c>
      <c r="I6" s="6">
        <v>6</v>
      </c>
      <c r="J6" s="6">
        <v>7</v>
      </c>
      <c r="K6" s="6">
        <f t="shared" si="0"/>
        <v>1</v>
      </c>
      <c r="L6" s="6">
        <v>1.5</v>
      </c>
      <c r="M6" s="6" t="s">
        <v>136</v>
      </c>
      <c r="N6" s="6">
        <v>1</v>
      </c>
      <c r="O6" s="64">
        <v>20</v>
      </c>
      <c r="P6" s="64">
        <v>10</v>
      </c>
      <c r="Q6" s="64">
        <v>35</v>
      </c>
      <c r="R6" s="64" t="s">
        <v>137</v>
      </c>
      <c r="S6" s="64" t="s">
        <v>138</v>
      </c>
      <c r="T6" s="65" t="s">
        <v>174</v>
      </c>
      <c r="U6" s="67"/>
      <c r="V6" s="63" t="s">
        <v>120</v>
      </c>
      <c r="W6" s="64" t="s">
        <v>135</v>
      </c>
      <c r="X6" s="64">
        <v>60</v>
      </c>
      <c r="Y6" s="64">
        <v>192</v>
      </c>
      <c r="Z6" s="6">
        <v>13</v>
      </c>
      <c r="AA6" s="6">
        <v>181</v>
      </c>
      <c r="AB6" s="64">
        <v>300</v>
      </c>
      <c r="AC6" s="6">
        <v>6</v>
      </c>
      <c r="AD6" s="6">
        <v>6</v>
      </c>
      <c r="AE6" s="6">
        <v>13</v>
      </c>
      <c r="AF6" s="6">
        <f t="shared" ref="AF6:AF13" si="2">AE6-AD6</f>
        <v>7</v>
      </c>
      <c r="AG6" s="6">
        <v>2</v>
      </c>
      <c r="AH6" s="68">
        <v>3</v>
      </c>
      <c r="AI6" s="6">
        <v>40</v>
      </c>
      <c r="AJ6" s="64">
        <v>30</v>
      </c>
      <c r="AK6" s="77">
        <v>15</v>
      </c>
      <c r="AL6" s="64">
        <v>17.5</v>
      </c>
      <c r="AM6" s="64" t="s">
        <v>137</v>
      </c>
      <c r="AN6" s="64" t="s">
        <v>138</v>
      </c>
      <c r="AO6" s="65" t="s">
        <v>174</v>
      </c>
      <c r="AQ6" s="63" t="s">
        <v>121</v>
      </c>
      <c r="AR6" s="64" t="s">
        <v>135</v>
      </c>
      <c r="AS6" s="64">
        <v>96</v>
      </c>
      <c r="AT6" s="64">
        <v>228</v>
      </c>
      <c r="AU6" s="6">
        <v>23</v>
      </c>
      <c r="AV6" s="6">
        <v>241</v>
      </c>
      <c r="AW6" s="6">
        <v>300</v>
      </c>
      <c r="AX6" s="6">
        <v>12</v>
      </c>
      <c r="AY6" s="6">
        <v>12</v>
      </c>
      <c r="AZ6" s="6">
        <v>18</v>
      </c>
      <c r="BA6" s="6">
        <f t="shared" si="1"/>
        <v>6</v>
      </c>
      <c r="BB6" s="6">
        <v>2</v>
      </c>
      <c r="BC6" s="6">
        <v>40</v>
      </c>
      <c r="BD6" s="68">
        <v>4</v>
      </c>
      <c r="BE6" s="64">
        <v>36</v>
      </c>
      <c r="BF6" s="77">
        <v>18</v>
      </c>
      <c r="BG6" s="64">
        <v>17.5</v>
      </c>
      <c r="BH6" s="64" t="s">
        <v>137</v>
      </c>
      <c r="BI6" s="64" t="s">
        <v>138</v>
      </c>
      <c r="BJ6" s="65" t="s">
        <v>174</v>
      </c>
    </row>
    <row r="7" spans="1:62" ht="78.75">
      <c r="A7" s="63" t="s">
        <v>118</v>
      </c>
      <c r="B7" s="64" t="s">
        <v>135</v>
      </c>
      <c r="C7" s="64">
        <v>60</v>
      </c>
      <c r="D7" s="64">
        <v>120</v>
      </c>
      <c r="E7" s="6">
        <v>7</v>
      </c>
      <c r="F7" s="6">
        <v>40</v>
      </c>
      <c r="G7" s="6">
        <v>96</v>
      </c>
      <c r="H7" s="6">
        <v>7</v>
      </c>
      <c r="I7" s="6">
        <v>7</v>
      </c>
      <c r="J7" s="6">
        <v>7</v>
      </c>
      <c r="K7" s="6">
        <f t="shared" si="0"/>
        <v>0</v>
      </c>
      <c r="L7" s="6">
        <v>1.5</v>
      </c>
      <c r="M7" s="6" t="s">
        <v>136</v>
      </c>
      <c r="N7" s="6">
        <v>1</v>
      </c>
      <c r="O7" s="64">
        <v>20</v>
      </c>
      <c r="P7" s="64">
        <v>10</v>
      </c>
      <c r="Q7" s="64">
        <v>35</v>
      </c>
      <c r="R7" s="64" t="s">
        <v>137</v>
      </c>
      <c r="S7" s="64" t="s">
        <v>138</v>
      </c>
      <c r="T7" s="65" t="s">
        <v>174</v>
      </c>
      <c r="U7" s="67"/>
      <c r="V7" s="63" t="s">
        <v>120</v>
      </c>
      <c r="W7" s="64" t="s">
        <v>135</v>
      </c>
      <c r="X7" s="64">
        <v>60</v>
      </c>
      <c r="Y7" s="64">
        <v>192</v>
      </c>
      <c r="Z7" s="6">
        <v>12</v>
      </c>
      <c r="AA7" s="71">
        <v>241</v>
      </c>
      <c r="AB7" s="78">
        <v>300</v>
      </c>
      <c r="AC7" s="6">
        <v>7</v>
      </c>
      <c r="AD7" s="6">
        <v>7</v>
      </c>
      <c r="AE7" s="6">
        <v>13</v>
      </c>
      <c r="AF7" s="6">
        <f t="shared" si="2"/>
        <v>6</v>
      </c>
      <c r="AG7" s="6">
        <v>2</v>
      </c>
      <c r="AH7" s="68">
        <v>3</v>
      </c>
      <c r="AI7" s="6">
        <v>40</v>
      </c>
      <c r="AJ7" s="64">
        <v>30</v>
      </c>
      <c r="AK7" s="77">
        <v>15</v>
      </c>
      <c r="AL7" s="64">
        <v>17.5</v>
      </c>
      <c r="AM7" s="64" t="s">
        <v>137</v>
      </c>
      <c r="AN7" s="64" t="s">
        <v>138</v>
      </c>
      <c r="AO7" s="65" t="s">
        <v>174</v>
      </c>
      <c r="AQ7" s="63" t="s">
        <v>121</v>
      </c>
      <c r="AR7" s="64" t="s">
        <v>135</v>
      </c>
      <c r="AS7" s="64">
        <v>96</v>
      </c>
      <c r="AT7" s="64">
        <v>228</v>
      </c>
      <c r="AU7" s="6">
        <v>22</v>
      </c>
      <c r="AV7" s="6">
        <v>241</v>
      </c>
      <c r="AW7" s="6">
        <v>300</v>
      </c>
      <c r="AX7" s="6">
        <v>13</v>
      </c>
      <c r="AY7" s="6">
        <v>13</v>
      </c>
      <c r="AZ7" s="6">
        <v>18</v>
      </c>
      <c r="BA7" s="6">
        <f t="shared" si="1"/>
        <v>5</v>
      </c>
      <c r="BB7" s="6">
        <v>2</v>
      </c>
      <c r="BC7" s="6">
        <v>40</v>
      </c>
      <c r="BD7" s="68">
        <v>4</v>
      </c>
      <c r="BE7" s="64">
        <v>36</v>
      </c>
      <c r="BF7" s="77">
        <v>18</v>
      </c>
      <c r="BG7" s="64">
        <v>17.5</v>
      </c>
      <c r="BH7" s="64" t="s">
        <v>137</v>
      </c>
      <c r="BI7" s="64" t="s">
        <v>138</v>
      </c>
      <c r="BJ7" s="65" t="s">
        <v>174</v>
      </c>
    </row>
    <row r="8" spans="1:62" ht="78.75">
      <c r="A8" s="63" t="s">
        <v>118</v>
      </c>
      <c r="B8" s="64" t="s">
        <v>135</v>
      </c>
      <c r="C8" s="64">
        <v>60</v>
      </c>
      <c r="D8" s="64">
        <v>120</v>
      </c>
      <c r="E8" s="6">
        <v>6</v>
      </c>
      <c r="F8" s="6">
        <v>40</v>
      </c>
      <c r="G8" s="6">
        <v>96</v>
      </c>
      <c r="H8" s="6">
        <v>7</v>
      </c>
      <c r="I8" s="6">
        <v>7</v>
      </c>
      <c r="J8" s="6">
        <v>7</v>
      </c>
      <c r="K8" s="6">
        <f t="shared" si="0"/>
        <v>0</v>
      </c>
      <c r="L8" s="6">
        <v>1.5</v>
      </c>
      <c r="M8" s="6" t="s">
        <v>136</v>
      </c>
      <c r="N8" s="6">
        <v>1</v>
      </c>
      <c r="O8" s="64">
        <v>20</v>
      </c>
      <c r="P8" s="64">
        <v>10</v>
      </c>
      <c r="Q8" s="64">
        <v>35</v>
      </c>
      <c r="R8" s="64" t="s">
        <v>137</v>
      </c>
      <c r="S8" s="64" t="s">
        <v>138</v>
      </c>
      <c r="T8" s="65" t="s">
        <v>174</v>
      </c>
      <c r="U8" s="67"/>
      <c r="V8" s="63" t="s">
        <v>120</v>
      </c>
      <c r="W8" s="64" t="s">
        <v>135</v>
      </c>
      <c r="X8" s="64">
        <v>60</v>
      </c>
      <c r="Y8" s="64">
        <v>192</v>
      </c>
      <c r="Z8" s="6">
        <v>11</v>
      </c>
      <c r="AA8" s="71">
        <v>241</v>
      </c>
      <c r="AB8" s="78">
        <v>300</v>
      </c>
      <c r="AC8" s="6">
        <v>8</v>
      </c>
      <c r="AD8" s="6">
        <v>8</v>
      </c>
      <c r="AE8" s="6">
        <v>13</v>
      </c>
      <c r="AF8" s="6">
        <f t="shared" si="2"/>
        <v>5</v>
      </c>
      <c r="AG8" s="6">
        <v>2</v>
      </c>
      <c r="AH8" s="68">
        <v>3</v>
      </c>
      <c r="AI8" s="6">
        <v>40</v>
      </c>
      <c r="AJ8" s="64">
        <v>30</v>
      </c>
      <c r="AK8" s="77">
        <v>15</v>
      </c>
      <c r="AL8" s="64">
        <v>17.5</v>
      </c>
      <c r="AM8" s="64" t="s">
        <v>137</v>
      </c>
      <c r="AN8" s="64" t="s">
        <v>138</v>
      </c>
      <c r="AO8" s="65" t="s">
        <v>174</v>
      </c>
      <c r="AQ8" s="63" t="s">
        <v>121</v>
      </c>
      <c r="AR8" s="64" t="s">
        <v>135</v>
      </c>
      <c r="AS8" s="64">
        <v>96</v>
      </c>
      <c r="AT8" s="64">
        <v>228</v>
      </c>
      <c r="AU8" s="6">
        <v>21</v>
      </c>
      <c r="AV8" s="6">
        <v>241</v>
      </c>
      <c r="AW8" s="6">
        <v>300</v>
      </c>
      <c r="AX8" s="6">
        <v>14</v>
      </c>
      <c r="AY8" s="6">
        <v>14</v>
      </c>
      <c r="AZ8" s="6">
        <v>18</v>
      </c>
      <c r="BA8" s="6">
        <f t="shared" si="1"/>
        <v>4</v>
      </c>
      <c r="BB8" s="6">
        <v>2</v>
      </c>
      <c r="BC8" s="6">
        <v>40</v>
      </c>
      <c r="BD8" s="68">
        <v>4</v>
      </c>
      <c r="BE8" s="64">
        <v>36</v>
      </c>
      <c r="BF8" s="77">
        <v>18</v>
      </c>
      <c r="BG8" s="64">
        <v>17.5</v>
      </c>
      <c r="BH8" s="64" t="s">
        <v>137</v>
      </c>
      <c r="BI8" s="64" t="s">
        <v>138</v>
      </c>
      <c r="BJ8" s="65" t="s">
        <v>174</v>
      </c>
    </row>
    <row r="9" spans="1:62" ht="78.75">
      <c r="A9" s="63" t="s">
        <v>118</v>
      </c>
      <c r="B9" s="64" t="s">
        <v>135</v>
      </c>
      <c r="C9" s="64">
        <v>60</v>
      </c>
      <c r="D9" s="64">
        <v>120</v>
      </c>
      <c r="E9" s="6">
        <v>5</v>
      </c>
      <c r="F9" s="6">
        <v>40</v>
      </c>
      <c r="G9" s="6">
        <v>96</v>
      </c>
      <c r="H9" s="6">
        <v>7</v>
      </c>
      <c r="I9" s="6">
        <v>7</v>
      </c>
      <c r="J9" s="6">
        <v>7</v>
      </c>
      <c r="K9" s="6">
        <f t="shared" si="0"/>
        <v>0</v>
      </c>
      <c r="L9" s="6">
        <v>1.5</v>
      </c>
      <c r="M9" s="6" t="s">
        <v>136</v>
      </c>
      <c r="N9" s="6">
        <v>1</v>
      </c>
      <c r="O9" s="64">
        <v>20</v>
      </c>
      <c r="P9" s="64">
        <v>10</v>
      </c>
      <c r="Q9" s="64">
        <v>35</v>
      </c>
      <c r="R9" s="64" t="s">
        <v>137</v>
      </c>
      <c r="S9" s="64" t="s">
        <v>138</v>
      </c>
      <c r="T9" s="65" t="s">
        <v>174</v>
      </c>
      <c r="U9" s="67"/>
      <c r="V9" s="63" t="s">
        <v>120</v>
      </c>
      <c r="W9" s="64" t="s">
        <v>135</v>
      </c>
      <c r="X9" s="64">
        <v>60</v>
      </c>
      <c r="Y9" s="64">
        <v>192</v>
      </c>
      <c r="Z9" s="6">
        <v>10</v>
      </c>
      <c r="AA9" s="71">
        <v>241</v>
      </c>
      <c r="AB9" s="78">
        <v>300</v>
      </c>
      <c r="AC9" s="6">
        <v>9</v>
      </c>
      <c r="AD9" s="6">
        <v>9</v>
      </c>
      <c r="AE9" s="6">
        <v>13</v>
      </c>
      <c r="AF9" s="6">
        <f t="shared" si="2"/>
        <v>4</v>
      </c>
      <c r="AG9" s="6">
        <v>2</v>
      </c>
      <c r="AH9" s="68">
        <v>3</v>
      </c>
      <c r="AI9" s="6">
        <v>40</v>
      </c>
      <c r="AJ9" s="64">
        <v>30</v>
      </c>
      <c r="AK9" s="77">
        <v>15</v>
      </c>
      <c r="AL9" s="64">
        <v>17.5</v>
      </c>
      <c r="AM9" s="64" t="s">
        <v>137</v>
      </c>
      <c r="AN9" s="64" t="s">
        <v>138</v>
      </c>
      <c r="AO9" s="65" t="s">
        <v>174</v>
      </c>
      <c r="AQ9" s="63" t="s">
        <v>121</v>
      </c>
      <c r="AR9" s="64" t="s">
        <v>135</v>
      </c>
      <c r="AS9" s="64">
        <v>96</v>
      </c>
      <c r="AT9" s="64">
        <v>228</v>
      </c>
      <c r="AU9" s="6">
        <v>20</v>
      </c>
      <c r="AV9" s="6">
        <v>241</v>
      </c>
      <c r="AW9" s="6">
        <v>300</v>
      </c>
      <c r="AX9" s="6">
        <v>15</v>
      </c>
      <c r="AY9" s="6">
        <v>15</v>
      </c>
      <c r="AZ9" s="6">
        <v>18</v>
      </c>
      <c r="BA9" s="6">
        <f t="shared" si="1"/>
        <v>3</v>
      </c>
      <c r="BB9" s="6">
        <v>2</v>
      </c>
      <c r="BC9" s="6">
        <v>40</v>
      </c>
      <c r="BD9" s="68">
        <v>4</v>
      </c>
      <c r="BE9" s="64">
        <v>36</v>
      </c>
      <c r="BF9" s="77">
        <v>18</v>
      </c>
      <c r="BG9" s="64">
        <v>17.5</v>
      </c>
      <c r="BH9" s="64" t="s">
        <v>137</v>
      </c>
      <c r="BI9" s="64" t="s">
        <v>138</v>
      </c>
      <c r="BJ9" s="65" t="s">
        <v>174</v>
      </c>
    </row>
    <row r="10" spans="1:62" ht="79.5" thickBot="1">
      <c r="A10" s="79" t="s">
        <v>118</v>
      </c>
      <c r="B10" s="69" t="s">
        <v>135</v>
      </c>
      <c r="C10" s="69">
        <v>60</v>
      </c>
      <c r="D10" s="69">
        <v>120</v>
      </c>
      <c r="E10" s="70">
        <v>4</v>
      </c>
      <c r="F10" s="70">
        <v>40</v>
      </c>
      <c r="G10" s="70">
        <v>96</v>
      </c>
      <c r="H10" s="70">
        <v>7</v>
      </c>
      <c r="I10" s="70">
        <v>7</v>
      </c>
      <c r="J10" s="70">
        <v>7</v>
      </c>
      <c r="K10" s="70">
        <f t="shared" si="0"/>
        <v>0</v>
      </c>
      <c r="L10" s="70">
        <v>1.5</v>
      </c>
      <c r="M10" s="70" t="s">
        <v>136</v>
      </c>
      <c r="N10" s="70">
        <v>1</v>
      </c>
      <c r="O10" s="69">
        <v>20</v>
      </c>
      <c r="P10" s="69">
        <v>10</v>
      </c>
      <c r="Q10" s="69">
        <v>35</v>
      </c>
      <c r="R10" s="69" t="s">
        <v>137</v>
      </c>
      <c r="S10" s="69" t="s">
        <v>138</v>
      </c>
      <c r="T10" s="140" t="s">
        <v>174</v>
      </c>
      <c r="U10" s="67"/>
      <c r="V10" s="63" t="s">
        <v>120</v>
      </c>
      <c r="W10" s="64" t="s">
        <v>135</v>
      </c>
      <c r="X10" s="64">
        <v>60</v>
      </c>
      <c r="Y10" s="64">
        <v>192</v>
      </c>
      <c r="Z10" s="6">
        <v>9</v>
      </c>
      <c r="AA10" s="71">
        <v>241</v>
      </c>
      <c r="AB10" s="78">
        <v>300</v>
      </c>
      <c r="AC10" s="6">
        <v>10</v>
      </c>
      <c r="AD10" s="6">
        <v>10</v>
      </c>
      <c r="AE10" s="6">
        <v>13</v>
      </c>
      <c r="AF10" s="6">
        <f t="shared" si="2"/>
        <v>3</v>
      </c>
      <c r="AG10" s="6">
        <v>2</v>
      </c>
      <c r="AH10" s="68">
        <v>3</v>
      </c>
      <c r="AI10" s="6">
        <v>40</v>
      </c>
      <c r="AJ10" s="64">
        <v>30</v>
      </c>
      <c r="AK10" s="77">
        <v>15</v>
      </c>
      <c r="AL10" s="64">
        <v>17.5</v>
      </c>
      <c r="AM10" s="64" t="s">
        <v>137</v>
      </c>
      <c r="AN10" s="64" t="s">
        <v>138</v>
      </c>
      <c r="AO10" s="65" t="s">
        <v>174</v>
      </c>
      <c r="AQ10" s="63" t="s">
        <v>121</v>
      </c>
      <c r="AR10" s="64" t="s">
        <v>135</v>
      </c>
      <c r="AS10" s="64">
        <v>96</v>
      </c>
      <c r="AT10" s="64">
        <v>228</v>
      </c>
      <c r="AU10" s="6">
        <v>19</v>
      </c>
      <c r="AV10" s="6">
        <v>241</v>
      </c>
      <c r="AW10" s="6">
        <v>300</v>
      </c>
      <c r="AX10" s="6">
        <v>16</v>
      </c>
      <c r="AY10" s="6">
        <v>16</v>
      </c>
      <c r="AZ10" s="6">
        <v>18</v>
      </c>
      <c r="BA10" s="6">
        <f t="shared" si="1"/>
        <v>2</v>
      </c>
      <c r="BB10" s="6">
        <v>2</v>
      </c>
      <c r="BC10" s="6">
        <v>40</v>
      </c>
      <c r="BD10" s="68">
        <v>4</v>
      </c>
      <c r="BE10" s="64">
        <v>36</v>
      </c>
      <c r="BF10" s="77">
        <v>18</v>
      </c>
      <c r="BG10" s="64">
        <v>17.5</v>
      </c>
      <c r="BH10" s="64" t="s">
        <v>137</v>
      </c>
      <c r="BI10" s="64" t="s">
        <v>138</v>
      </c>
      <c r="BJ10" s="65" t="s">
        <v>174</v>
      </c>
    </row>
    <row r="11" spans="1:62" ht="78.75">
      <c r="V11" s="63" t="s">
        <v>120</v>
      </c>
      <c r="W11" s="64" t="s">
        <v>135</v>
      </c>
      <c r="X11" s="64">
        <v>60</v>
      </c>
      <c r="Y11" s="64">
        <v>192</v>
      </c>
      <c r="Z11" s="6">
        <v>8</v>
      </c>
      <c r="AA11" s="71">
        <v>241</v>
      </c>
      <c r="AB11" s="78">
        <v>300</v>
      </c>
      <c r="AC11" s="6">
        <v>11</v>
      </c>
      <c r="AD11" s="6">
        <v>11</v>
      </c>
      <c r="AE11" s="6">
        <v>13</v>
      </c>
      <c r="AF11" s="6">
        <f t="shared" si="2"/>
        <v>2</v>
      </c>
      <c r="AG11" s="6">
        <v>2</v>
      </c>
      <c r="AH11" s="68">
        <v>3</v>
      </c>
      <c r="AI11" s="6">
        <v>40</v>
      </c>
      <c r="AJ11" s="64">
        <v>30</v>
      </c>
      <c r="AK11" s="77">
        <v>15</v>
      </c>
      <c r="AL11" s="64">
        <v>17.5</v>
      </c>
      <c r="AM11" s="64" t="s">
        <v>137</v>
      </c>
      <c r="AN11" s="64" t="s">
        <v>138</v>
      </c>
      <c r="AO11" s="65" t="s">
        <v>174</v>
      </c>
      <c r="AQ11" s="63" t="s">
        <v>121</v>
      </c>
      <c r="AR11" s="64" t="s">
        <v>135</v>
      </c>
      <c r="AS11" s="64">
        <v>96</v>
      </c>
      <c r="AT11" s="64">
        <v>228</v>
      </c>
      <c r="AU11" s="6">
        <v>18</v>
      </c>
      <c r="AV11" s="6">
        <v>241</v>
      </c>
      <c r="AW11" s="6">
        <v>300</v>
      </c>
      <c r="AX11" s="6">
        <v>17</v>
      </c>
      <c r="AY11" s="6">
        <v>17</v>
      </c>
      <c r="AZ11" s="6">
        <v>18</v>
      </c>
      <c r="BA11" s="6">
        <f t="shared" si="1"/>
        <v>1</v>
      </c>
      <c r="BB11" s="6">
        <v>2</v>
      </c>
      <c r="BC11" s="6">
        <v>40</v>
      </c>
      <c r="BD11" s="68">
        <v>4</v>
      </c>
      <c r="BE11" s="64">
        <v>36</v>
      </c>
      <c r="BF11" s="77">
        <v>18</v>
      </c>
      <c r="BG11" s="64">
        <v>17.5</v>
      </c>
      <c r="BH11" s="64" t="s">
        <v>137</v>
      </c>
      <c r="BI11" s="64" t="s">
        <v>138</v>
      </c>
      <c r="BJ11" s="65" t="s">
        <v>174</v>
      </c>
    </row>
    <row r="12" spans="1:62" ht="78.75"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3" t="s">
        <v>120</v>
      </c>
      <c r="W12" s="64" t="s">
        <v>135</v>
      </c>
      <c r="X12" s="64">
        <v>60</v>
      </c>
      <c r="Y12" s="64">
        <v>192</v>
      </c>
      <c r="Z12" s="6">
        <v>7</v>
      </c>
      <c r="AA12" s="71">
        <v>241</v>
      </c>
      <c r="AB12" s="78">
        <v>300</v>
      </c>
      <c r="AC12" s="6">
        <v>12</v>
      </c>
      <c r="AD12" s="6">
        <v>12</v>
      </c>
      <c r="AE12" s="6">
        <v>13</v>
      </c>
      <c r="AF12" s="6">
        <f t="shared" si="2"/>
        <v>1</v>
      </c>
      <c r="AG12" s="6">
        <v>2</v>
      </c>
      <c r="AH12" s="68">
        <v>3</v>
      </c>
      <c r="AI12" s="6">
        <v>40</v>
      </c>
      <c r="AJ12" s="64">
        <v>30</v>
      </c>
      <c r="AK12" s="77">
        <v>15</v>
      </c>
      <c r="AL12" s="64">
        <v>17.5</v>
      </c>
      <c r="AM12" s="64" t="s">
        <v>137</v>
      </c>
      <c r="AN12" s="64" t="s">
        <v>138</v>
      </c>
      <c r="AO12" s="65" t="s">
        <v>174</v>
      </c>
      <c r="AQ12" s="63" t="s">
        <v>121</v>
      </c>
      <c r="AR12" s="64" t="s">
        <v>135</v>
      </c>
      <c r="AS12" s="64">
        <v>96</v>
      </c>
      <c r="AT12" s="64">
        <v>228</v>
      </c>
      <c r="AU12" s="161">
        <v>17</v>
      </c>
      <c r="AV12" s="6">
        <v>241</v>
      </c>
      <c r="AW12" s="6">
        <v>300</v>
      </c>
      <c r="AX12" s="163">
        <v>18</v>
      </c>
      <c r="AY12" s="163">
        <v>18</v>
      </c>
      <c r="AZ12" s="163">
        <v>18</v>
      </c>
      <c r="BA12" s="163">
        <f t="shared" si="1"/>
        <v>0</v>
      </c>
      <c r="BB12" s="6">
        <v>2</v>
      </c>
      <c r="BC12" s="6">
        <v>40</v>
      </c>
      <c r="BD12" s="68">
        <v>4</v>
      </c>
      <c r="BE12" s="64">
        <v>36</v>
      </c>
      <c r="BF12" s="77">
        <v>18</v>
      </c>
      <c r="BG12" s="64">
        <v>17.5</v>
      </c>
      <c r="BH12" s="64" t="s">
        <v>137</v>
      </c>
      <c r="BI12" s="64" t="s">
        <v>138</v>
      </c>
      <c r="BJ12" s="65" t="s">
        <v>174</v>
      </c>
    </row>
    <row r="13" spans="1:62" ht="79.5" thickBot="1">
      <c r="V13" s="79" t="s">
        <v>120</v>
      </c>
      <c r="W13" s="69" t="s">
        <v>135</v>
      </c>
      <c r="X13" s="69">
        <v>60</v>
      </c>
      <c r="Y13" s="69">
        <v>192</v>
      </c>
      <c r="Z13" s="70">
        <v>6</v>
      </c>
      <c r="AA13" s="80">
        <v>241</v>
      </c>
      <c r="AB13" s="81">
        <v>300</v>
      </c>
      <c r="AC13" s="80">
        <v>12</v>
      </c>
      <c r="AD13" s="80">
        <v>12</v>
      </c>
      <c r="AE13" s="70">
        <v>13</v>
      </c>
      <c r="AF13" s="6">
        <f t="shared" si="2"/>
        <v>1</v>
      </c>
      <c r="AG13" s="70">
        <v>2</v>
      </c>
      <c r="AH13" s="72">
        <v>3</v>
      </c>
      <c r="AI13" s="70">
        <v>40</v>
      </c>
      <c r="AJ13" s="69">
        <v>30</v>
      </c>
      <c r="AK13" s="82">
        <v>15</v>
      </c>
      <c r="AL13" s="69">
        <v>17.5</v>
      </c>
      <c r="AM13" s="69" t="s">
        <v>137</v>
      </c>
      <c r="AN13" s="69" t="s">
        <v>138</v>
      </c>
      <c r="AO13" s="140" t="s">
        <v>174</v>
      </c>
      <c r="AQ13" s="63" t="s">
        <v>121</v>
      </c>
      <c r="AR13" s="64" t="s">
        <v>135</v>
      </c>
      <c r="AS13" s="64">
        <v>96</v>
      </c>
      <c r="AT13" s="64">
        <v>228</v>
      </c>
      <c r="AU13" s="161">
        <v>16</v>
      </c>
      <c r="AV13" s="6">
        <v>241</v>
      </c>
      <c r="AW13" s="6">
        <v>300</v>
      </c>
      <c r="AX13" s="161">
        <v>19</v>
      </c>
      <c r="AY13" s="161">
        <v>19</v>
      </c>
      <c r="AZ13" s="71">
        <v>18</v>
      </c>
      <c r="BA13" s="161">
        <f t="shared" si="1"/>
        <v>-1</v>
      </c>
      <c r="BB13" s="6">
        <v>2</v>
      </c>
      <c r="BC13" s="6">
        <v>40</v>
      </c>
      <c r="BD13" s="68">
        <v>4</v>
      </c>
      <c r="BE13" s="64">
        <v>36</v>
      </c>
      <c r="BF13" s="77">
        <v>18</v>
      </c>
      <c r="BG13" s="64">
        <v>17.5</v>
      </c>
      <c r="BH13" s="64" t="s">
        <v>137</v>
      </c>
      <c r="BI13" s="64" t="s">
        <v>138</v>
      </c>
      <c r="BJ13" s="65" t="s">
        <v>174</v>
      </c>
    </row>
    <row r="14" spans="1:62" ht="79.5" thickBot="1">
      <c r="K14" s="37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Q14" s="63" t="s">
        <v>121</v>
      </c>
      <c r="AR14" s="64" t="s">
        <v>135</v>
      </c>
      <c r="AS14" s="64">
        <v>96</v>
      </c>
      <c r="AT14" s="64">
        <v>228</v>
      </c>
      <c r="AU14" s="161">
        <v>15</v>
      </c>
      <c r="AV14" s="6">
        <v>241</v>
      </c>
      <c r="AW14" s="6">
        <v>300</v>
      </c>
      <c r="AX14" s="161">
        <v>20</v>
      </c>
      <c r="AY14" s="161">
        <v>20</v>
      </c>
      <c r="AZ14" s="71">
        <v>18</v>
      </c>
      <c r="BA14" s="161">
        <f t="shared" si="1"/>
        <v>-2</v>
      </c>
      <c r="BB14" s="6">
        <v>2</v>
      </c>
      <c r="BC14" s="6">
        <v>40</v>
      </c>
      <c r="BD14" s="68">
        <v>4</v>
      </c>
      <c r="BE14" s="64">
        <v>36</v>
      </c>
      <c r="BF14" s="77">
        <v>18</v>
      </c>
      <c r="BG14" s="64">
        <v>17.5</v>
      </c>
      <c r="BH14" s="64" t="s">
        <v>137</v>
      </c>
      <c r="BI14" s="64" t="s">
        <v>138</v>
      </c>
      <c r="BJ14" s="65" t="s">
        <v>174</v>
      </c>
    </row>
    <row r="15" spans="1:62" ht="79.5" thickBot="1">
      <c r="A15" s="300" t="s">
        <v>186</v>
      </c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  <c r="Q15" s="301"/>
      <c r="R15" s="301"/>
      <c r="S15" s="301"/>
      <c r="T15" s="302"/>
      <c r="U15" s="62"/>
      <c r="V15" s="298" t="s">
        <v>176</v>
      </c>
      <c r="W15" s="299"/>
      <c r="X15" s="299"/>
      <c r="Y15" s="299"/>
      <c r="Z15" s="299"/>
      <c r="AA15" s="299"/>
      <c r="AB15" s="299"/>
      <c r="AC15" s="299"/>
      <c r="AD15" s="299"/>
      <c r="AE15" s="299"/>
      <c r="AF15" s="299"/>
      <c r="AG15" s="299"/>
      <c r="AH15" s="299"/>
      <c r="AI15" s="299"/>
      <c r="AJ15" s="299"/>
      <c r="AK15" s="299"/>
      <c r="AL15" s="299"/>
      <c r="AM15" s="299"/>
      <c r="AN15" s="299"/>
      <c r="AO15" s="303"/>
      <c r="AQ15" s="63" t="s">
        <v>121</v>
      </c>
      <c r="AR15" s="64" t="s">
        <v>135</v>
      </c>
      <c r="AS15" s="64">
        <v>96</v>
      </c>
      <c r="AT15" s="64">
        <v>228</v>
      </c>
      <c r="AU15" s="161">
        <v>14</v>
      </c>
      <c r="AV15" s="6">
        <v>241</v>
      </c>
      <c r="AW15" s="6">
        <v>300</v>
      </c>
      <c r="AX15" s="161">
        <v>21</v>
      </c>
      <c r="AY15" s="161">
        <v>21</v>
      </c>
      <c r="AZ15" s="71">
        <v>18</v>
      </c>
      <c r="BA15" s="161">
        <f t="shared" si="1"/>
        <v>-3</v>
      </c>
      <c r="BB15" s="6">
        <v>2</v>
      </c>
      <c r="BC15" s="6">
        <v>40</v>
      </c>
      <c r="BD15" s="68">
        <v>4</v>
      </c>
      <c r="BE15" s="64">
        <v>36</v>
      </c>
      <c r="BF15" s="77">
        <v>18</v>
      </c>
      <c r="BG15" s="64">
        <v>17.5</v>
      </c>
      <c r="BH15" s="64" t="s">
        <v>137</v>
      </c>
      <c r="BI15" s="64" t="s">
        <v>138</v>
      </c>
      <c r="BJ15" s="65" t="s">
        <v>174</v>
      </c>
    </row>
    <row r="16" spans="1:62" ht="110.25">
      <c r="A16" s="63" t="s">
        <v>99</v>
      </c>
      <c r="B16" s="64" t="s">
        <v>100</v>
      </c>
      <c r="C16" s="64" t="s">
        <v>200</v>
      </c>
      <c r="D16" s="64" t="s">
        <v>201</v>
      </c>
      <c r="E16" s="37" t="s">
        <v>203</v>
      </c>
      <c r="F16" s="37" t="s">
        <v>204</v>
      </c>
      <c r="G16" s="37" t="s">
        <v>205</v>
      </c>
      <c r="H16" s="37" t="s">
        <v>208</v>
      </c>
      <c r="I16" s="37" t="s">
        <v>209</v>
      </c>
      <c r="J16" s="37" t="s">
        <v>106</v>
      </c>
      <c r="K16" s="144" t="s">
        <v>179</v>
      </c>
      <c r="L16" s="37" t="s">
        <v>128</v>
      </c>
      <c r="M16" s="37" t="s">
        <v>108</v>
      </c>
      <c r="N16" s="37" t="s">
        <v>110</v>
      </c>
      <c r="O16" s="64" t="s">
        <v>129</v>
      </c>
      <c r="P16" s="64" t="s">
        <v>130</v>
      </c>
      <c r="Q16" s="75" t="s">
        <v>131</v>
      </c>
      <c r="R16" s="75" t="s">
        <v>132</v>
      </c>
      <c r="S16" s="75" t="s">
        <v>133</v>
      </c>
      <c r="T16" s="139" t="s">
        <v>173</v>
      </c>
      <c r="U16" s="66"/>
      <c r="V16" s="63" t="s">
        <v>115</v>
      </c>
      <c r="W16" s="64" t="s">
        <v>100</v>
      </c>
      <c r="X16" s="64" t="s">
        <v>200</v>
      </c>
      <c r="Y16" s="64" t="s">
        <v>201</v>
      </c>
      <c r="Z16" s="37" t="s">
        <v>203</v>
      </c>
      <c r="AA16" s="37" t="s">
        <v>204</v>
      </c>
      <c r="AB16" s="37" t="s">
        <v>205</v>
      </c>
      <c r="AC16" s="37" t="s">
        <v>208</v>
      </c>
      <c r="AD16" s="37" t="s">
        <v>209</v>
      </c>
      <c r="AE16" s="37" t="s">
        <v>106</v>
      </c>
      <c r="AF16" s="144" t="s">
        <v>179</v>
      </c>
      <c r="AG16" s="37" t="s">
        <v>109</v>
      </c>
      <c r="AH16" s="37" t="s">
        <v>110</v>
      </c>
      <c r="AI16" s="37" t="s">
        <v>108</v>
      </c>
      <c r="AJ16" s="64" t="s">
        <v>129</v>
      </c>
      <c r="AK16" s="64" t="s">
        <v>130</v>
      </c>
      <c r="AL16" s="75" t="s">
        <v>131</v>
      </c>
      <c r="AM16" s="75" t="s">
        <v>132</v>
      </c>
      <c r="AN16" s="75" t="s">
        <v>133</v>
      </c>
      <c r="AO16" s="139" t="s">
        <v>173</v>
      </c>
      <c r="AQ16" s="63" t="s">
        <v>121</v>
      </c>
      <c r="AR16" s="64" t="s">
        <v>135</v>
      </c>
      <c r="AS16" s="64">
        <v>96</v>
      </c>
      <c r="AT16" s="64">
        <v>228</v>
      </c>
      <c r="AU16" s="161">
        <v>13</v>
      </c>
      <c r="AV16" s="6">
        <v>241</v>
      </c>
      <c r="AW16" s="6">
        <v>300</v>
      </c>
      <c r="AX16" s="161">
        <v>22</v>
      </c>
      <c r="AY16" s="161">
        <v>22</v>
      </c>
      <c r="AZ16" s="71">
        <v>18</v>
      </c>
      <c r="BA16" s="161">
        <f t="shared" si="1"/>
        <v>-4</v>
      </c>
      <c r="BB16" s="6">
        <v>2</v>
      </c>
      <c r="BC16" s="6">
        <v>40</v>
      </c>
      <c r="BD16" s="68">
        <v>4</v>
      </c>
      <c r="BE16" s="64">
        <v>36</v>
      </c>
      <c r="BF16" s="77">
        <v>18</v>
      </c>
      <c r="BG16" s="64">
        <v>17.5</v>
      </c>
      <c r="BH16" s="64" t="s">
        <v>137</v>
      </c>
      <c r="BI16" s="64" t="s">
        <v>138</v>
      </c>
      <c r="BJ16" s="65" t="s">
        <v>174</v>
      </c>
    </row>
    <row r="17" spans="1:67" ht="78.75">
      <c r="A17" s="63" t="s">
        <v>123</v>
      </c>
      <c r="B17" s="64" t="s">
        <v>135</v>
      </c>
      <c r="C17" s="64">
        <v>60</v>
      </c>
      <c r="D17" s="64">
        <v>120</v>
      </c>
      <c r="E17" s="6">
        <v>10</v>
      </c>
      <c r="F17" s="6">
        <v>40</v>
      </c>
      <c r="G17" s="6">
        <v>96</v>
      </c>
      <c r="H17" s="6">
        <v>4</v>
      </c>
      <c r="I17" s="6">
        <v>4</v>
      </c>
      <c r="J17" s="6">
        <v>7</v>
      </c>
      <c r="K17" s="6">
        <f>J17-I17</f>
        <v>3</v>
      </c>
      <c r="L17" s="6">
        <v>1.5</v>
      </c>
      <c r="M17" s="6" t="s">
        <v>136</v>
      </c>
      <c r="N17" s="6">
        <v>1</v>
      </c>
      <c r="O17" s="64">
        <v>20</v>
      </c>
      <c r="P17" s="64">
        <v>10</v>
      </c>
      <c r="Q17" s="64">
        <v>35</v>
      </c>
      <c r="R17" s="64" t="s">
        <v>137</v>
      </c>
      <c r="S17" s="64" t="s">
        <v>138</v>
      </c>
      <c r="T17" s="65" t="s">
        <v>174</v>
      </c>
      <c r="U17" s="67"/>
      <c r="V17" s="63" t="s">
        <v>124</v>
      </c>
      <c r="W17" s="64" t="s">
        <v>135</v>
      </c>
      <c r="X17" s="64">
        <v>60</v>
      </c>
      <c r="Y17" s="64">
        <v>192</v>
      </c>
      <c r="Z17" s="6">
        <v>15</v>
      </c>
      <c r="AA17" s="6">
        <v>60</v>
      </c>
      <c r="AB17" s="64">
        <v>120</v>
      </c>
      <c r="AC17" s="6">
        <v>4</v>
      </c>
      <c r="AD17" s="6">
        <v>4</v>
      </c>
      <c r="AE17" s="6">
        <v>13</v>
      </c>
      <c r="AF17" s="6">
        <f>AE17-AD17</f>
        <v>9</v>
      </c>
      <c r="AG17" s="6">
        <v>1.5</v>
      </c>
      <c r="AH17" s="68">
        <v>2</v>
      </c>
      <c r="AI17" s="6">
        <v>25</v>
      </c>
      <c r="AJ17" s="64">
        <v>20</v>
      </c>
      <c r="AK17" s="64">
        <v>10</v>
      </c>
      <c r="AL17" s="64">
        <v>17.5</v>
      </c>
      <c r="AM17" s="64" t="s">
        <v>137</v>
      </c>
      <c r="AN17" s="64" t="s">
        <v>138</v>
      </c>
      <c r="AO17" s="65" t="s">
        <v>174</v>
      </c>
      <c r="AQ17" s="63" t="s">
        <v>121</v>
      </c>
      <c r="AR17" s="64" t="s">
        <v>135</v>
      </c>
      <c r="AS17" s="64">
        <v>96</v>
      </c>
      <c r="AT17" s="64">
        <v>228</v>
      </c>
      <c r="AU17" s="161">
        <v>11</v>
      </c>
      <c r="AV17" s="6">
        <v>241</v>
      </c>
      <c r="AW17" s="6">
        <v>300</v>
      </c>
      <c r="AX17" s="161">
        <v>23</v>
      </c>
      <c r="AY17" s="161">
        <v>23</v>
      </c>
      <c r="AZ17" s="71">
        <v>18</v>
      </c>
      <c r="BA17" s="161">
        <f t="shared" si="1"/>
        <v>-5</v>
      </c>
      <c r="BB17" s="6">
        <v>2</v>
      </c>
      <c r="BC17" s="6">
        <v>40</v>
      </c>
      <c r="BD17" s="68">
        <v>4</v>
      </c>
      <c r="BE17" s="64">
        <v>36</v>
      </c>
      <c r="BF17" s="77">
        <v>18</v>
      </c>
      <c r="BG17" s="64">
        <v>17.5</v>
      </c>
      <c r="BH17" s="64" t="s">
        <v>137</v>
      </c>
      <c r="BI17" s="64" t="s">
        <v>138</v>
      </c>
      <c r="BJ17" s="65" t="s">
        <v>174</v>
      </c>
    </row>
    <row r="18" spans="1:67" ht="79.5" thickBot="1">
      <c r="A18" s="63" t="s">
        <v>123</v>
      </c>
      <c r="B18" s="64" t="s">
        <v>135</v>
      </c>
      <c r="C18" s="64">
        <v>60</v>
      </c>
      <c r="D18" s="64">
        <v>120</v>
      </c>
      <c r="E18" s="6">
        <v>9</v>
      </c>
      <c r="F18" s="6">
        <v>40</v>
      </c>
      <c r="G18" s="6">
        <v>96</v>
      </c>
      <c r="H18" s="6">
        <v>5</v>
      </c>
      <c r="I18" s="6">
        <v>5</v>
      </c>
      <c r="J18" s="6">
        <v>7</v>
      </c>
      <c r="K18" s="6">
        <f t="shared" ref="K18:K23" si="3">J18-I18</f>
        <v>2</v>
      </c>
      <c r="L18" s="6">
        <v>1.5</v>
      </c>
      <c r="M18" s="6" t="s">
        <v>136</v>
      </c>
      <c r="N18" s="6">
        <v>1</v>
      </c>
      <c r="O18" s="64">
        <v>20</v>
      </c>
      <c r="P18" s="64">
        <v>10</v>
      </c>
      <c r="Q18" s="64">
        <v>35</v>
      </c>
      <c r="R18" s="64" t="s">
        <v>137</v>
      </c>
      <c r="S18" s="64" t="s">
        <v>138</v>
      </c>
      <c r="T18" s="65" t="s">
        <v>174</v>
      </c>
      <c r="U18" s="67"/>
      <c r="V18" s="63" t="s">
        <v>124</v>
      </c>
      <c r="W18" s="64" t="s">
        <v>135</v>
      </c>
      <c r="X18" s="64">
        <v>60</v>
      </c>
      <c r="Y18" s="64">
        <v>192</v>
      </c>
      <c r="Z18" s="6">
        <v>14</v>
      </c>
      <c r="AA18" s="6">
        <v>121</v>
      </c>
      <c r="AB18" s="64">
        <v>180</v>
      </c>
      <c r="AC18" s="6">
        <v>5</v>
      </c>
      <c r="AD18" s="6">
        <v>5</v>
      </c>
      <c r="AE18" s="6">
        <v>13</v>
      </c>
      <c r="AF18" s="6">
        <f>AE18-AD18</f>
        <v>8</v>
      </c>
      <c r="AG18" s="6">
        <v>1.5</v>
      </c>
      <c r="AH18" s="68">
        <v>3</v>
      </c>
      <c r="AI18" s="6">
        <v>30</v>
      </c>
      <c r="AJ18" s="64">
        <v>25</v>
      </c>
      <c r="AK18" s="77">
        <v>12</v>
      </c>
      <c r="AL18" s="64">
        <v>17.5</v>
      </c>
      <c r="AM18" s="64" t="s">
        <v>137</v>
      </c>
      <c r="AN18" s="64" t="s">
        <v>138</v>
      </c>
      <c r="AO18" s="65" t="s">
        <v>174</v>
      </c>
      <c r="AQ18" s="79" t="s">
        <v>121</v>
      </c>
      <c r="AR18" s="69" t="s">
        <v>135</v>
      </c>
      <c r="AS18" s="69">
        <v>96</v>
      </c>
      <c r="AT18" s="69">
        <v>228</v>
      </c>
      <c r="AU18" s="162">
        <v>10</v>
      </c>
      <c r="AV18" s="70">
        <v>241</v>
      </c>
      <c r="AW18" s="70">
        <v>300</v>
      </c>
      <c r="AX18" s="161">
        <v>24</v>
      </c>
      <c r="AY18" s="161">
        <v>24</v>
      </c>
      <c r="AZ18" s="80">
        <v>18</v>
      </c>
      <c r="BA18" s="161">
        <f t="shared" si="1"/>
        <v>-6</v>
      </c>
      <c r="BB18" s="70">
        <v>2</v>
      </c>
      <c r="BC18" s="70">
        <v>40</v>
      </c>
      <c r="BD18" s="72">
        <v>4</v>
      </c>
      <c r="BE18" s="69">
        <v>36</v>
      </c>
      <c r="BF18" s="82">
        <v>18</v>
      </c>
      <c r="BG18" s="69">
        <v>17.5</v>
      </c>
      <c r="BH18" s="69" t="s">
        <v>137</v>
      </c>
      <c r="BI18" s="69" t="s">
        <v>138</v>
      </c>
      <c r="BJ18" s="140" t="s">
        <v>174</v>
      </c>
    </row>
    <row r="19" spans="1:67" ht="79.5" thickBot="1">
      <c r="A19" s="63" t="s">
        <v>123</v>
      </c>
      <c r="B19" s="64" t="s">
        <v>135</v>
      </c>
      <c r="C19" s="64">
        <v>60</v>
      </c>
      <c r="D19" s="64">
        <v>120</v>
      </c>
      <c r="E19" s="6">
        <v>8</v>
      </c>
      <c r="F19" s="6">
        <v>40</v>
      </c>
      <c r="G19" s="6">
        <v>96</v>
      </c>
      <c r="H19" s="6">
        <v>6</v>
      </c>
      <c r="I19" s="6">
        <v>6</v>
      </c>
      <c r="J19" s="6">
        <v>7</v>
      </c>
      <c r="K19" s="6">
        <f t="shared" si="3"/>
        <v>1</v>
      </c>
      <c r="L19" s="6">
        <v>1.5</v>
      </c>
      <c r="M19" s="6" t="s">
        <v>136</v>
      </c>
      <c r="N19" s="6">
        <v>1</v>
      </c>
      <c r="O19" s="64">
        <v>20</v>
      </c>
      <c r="P19" s="64">
        <v>10</v>
      </c>
      <c r="Q19" s="64">
        <v>35</v>
      </c>
      <c r="R19" s="64" t="s">
        <v>137</v>
      </c>
      <c r="S19" s="64" t="s">
        <v>138</v>
      </c>
      <c r="T19" s="65" t="s">
        <v>174</v>
      </c>
      <c r="U19" s="67"/>
      <c r="V19" s="63" t="s">
        <v>124</v>
      </c>
      <c r="W19" s="64" t="s">
        <v>135</v>
      </c>
      <c r="X19" s="64">
        <v>60</v>
      </c>
      <c r="Y19" s="64">
        <v>192</v>
      </c>
      <c r="Z19" s="6">
        <v>13</v>
      </c>
      <c r="AA19" s="6">
        <v>181</v>
      </c>
      <c r="AB19" s="64">
        <v>300</v>
      </c>
      <c r="AC19" s="6">
        <v>6</v>
      </c>
      <c r="AD19" s="6">
        <v>6</v>
      </c>
      <c r="AE19" s="6">
        <v>13</v>
      </c>
      <c r="AF19" s="6">
        <f t="shared" ref="AF19:AF26" si="4">AE19-AD19</f>
        <v>7</v>
      </c>
      <c r="AG19" s="6">
        <v>2</v>
      </c>
      <c r="AH19" s="68">
        <v>3</v>
      </c>
      <c r="AI19" s="6">
        <v>40</v>
      </c>
      <c r="AJ19" s="64">
        <v>30</v>
      </c>
      <c r="AK19" s="77">
        <v>15</v>
      </c>
      <c r="AL19" s="64">
        <v>17.5</v>
      </c>
      <c r="AM19" s="64" t="s">
        <v>137</v>
      </c>
      <c r="AN19" s="64" t="s">
        <v>138</v>
      </c>
      <c r="AO19" s="65" t="s">
        <v>174</v>
      </c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H19" s="60"/>
    </row>
    <row r="20" spans="1:67" ht="79.5" thickBot="1">
      <c r="A20" s="63" t="s">
        <v>123</v>
      </c>
      <c r="B20" s="64" t="s">
        <v>135</v>
      </c>
      <c r="C20" s="64">
        <v>60</v>
      </c>
      <c r="D20" s="64">
        <v>120</v>
      </c>
      <c r="E20" s="6">
        <v>7</v>
      </c>
      <c r="F20" s="6">
        <v>40</v>
      </c>
      <c r="G20" s="6">
        <v>96</v>
      </c>
      <c r="H20" s="6">
        <v>7</v>
      </c>
      <c r="I20" s="6">
        <v>7</v>
      </c>
      <c r="J20" s="6">
        <v>7</v>
      </c>
      <c r="K20" s="71">
        <f t="shared" si="3"/>
        <v>0</v>
      </c>
      <c r="L20" s="6">
        <v>1.5</v>
      </c>
      <c r="M20" s="6" t="s">
        <v>136</v>
      </c>
      <c r="N20" s="6">
        <v>1</v>
      </c>
      <c r="O20" s="64">
        <v>20</v>
      </c>
      <c r="P20" s="64">
        <v>10</v>
      </c>
      <c r="Q20" s="64">
        <v>35</v>
      </c>
      <c r="R20" s="64" t="s">
        <v>137</v>
      </c>
      <c r="S20" s="64" t="s">
        <v>138</v>
      </c>
      <c r="T20" s="65" t="s">
        <v>174</v>
      </c>
      <c r="U20" s="67"/>
      <c r="V20" s="63" t="s">
        <v>124</v>
      </c>
      <c r="W20" s="64" t="s">
        <v>135</v>
      </c>
      <c r="X20" s="64">
        <v>60</v>
      </c>
      <c r="Y20" s="64">
        <v>192</v>
      </c>
      <c r="Z20" s="6">
        <v>12</v>
      </c>
      <c r="AA20" s="6">
        <v>241</v>
      </c>
      <c r="AB20" s="64">
        <v>300</v>
      </c>
      <c r="AC20" s="6">
        <v>7</v>
      </c>
      <c r="AD20" s="6">
        <v>7</v>
      </c>
      <c r="AE20" s="6">
        <v>13</v>
      </c>
      <c r="AF20" s="6">
        <f t="shared" si="4"/>
        <v>6</v>
      </c>
      <c r="AG20" s="6">
        <v>2</v>
      </c>
      <c r="AH20" s="68">
        <v>3</v>
      </c>
      <c r="AI20" s="6">
        <v>40</v>
      </c>
      <c r="AJ20" s="64">
        <v>30</v>
      </c>
      <c r="AK20" s="77">
        <v>15</v>
      </c>
      <c r="AL20" s="64">
        <v>17.5</v>
      </c>
      <c r="AM20" s="64" t="s">
        <v>137</v>
      </c>
      <c r="AN20" s="64" t="s">
        <v>138</v>
      </c>
      <c r="AO20" s="65" t="s">
        <v>174</v>
      </c>
      <c r="AQ20" s="300" t="s">
        <v>189</v>
      </c>
      <c r="AR20" s="301"/>
      <c r="AS20" s="301"/>
      <c r="AT20" s="301"/>
      <c r="AU20" s="301"/>
      <c r="AV20" s="301"/>
      <c r="AW20" s="301"/>
      <c r="AX20" s="301"/>
      <c r="AY20" s="301"/>
      <c r="AZ20" s="301"/>
      <c r="BA20" s="301"/>
      <c r="BB20" s="301"/>
      <c r="BC20" s="301"/>
      <c r="BD20" s="301"/>
      <c r="BE20" s="301"/>
      <c r="BF20" s="301"/>
      <c r="BG20" s="301"/>
      <c r="BH20" s="301"/>
      <c r="BI20" s="301"/>
      <c r="BJ20" s="302"/>
      <c r="BK20" s="60"/>
      <c r="BL20" s="60"/>
      <c r="BM20" s="60"/>
      <c r="BN20" s="60"/>
      <c r="BO20" s="60"/>
    </row>
    <row r="21" spans="1:67" ht="94.5">
      <c r="A21" s="63" t="s">
        <v>123</v>
      </c>
      <c r="B21" s="64" t="s">
        <v>135</v>
      </c>
      <c r="C21" s="64">
        <v>60</v>
      </c>
      <c r="D21" s="64">
        <v>120</v>
      </c>
      <c r="E21" s="6">
        <v>6</v>
      </c>
      <c r="F21" s="6">
        <v>40</v>
      </c>
      <c r="G21" s="6">
        <v>96</v>
      </c>
      <c r="H21" s="6">
        <v>7</v>
      </c>
      <c r="I21" s="6">
        <v>7</v>
      </c>
      <c r="J21" s="6">
        <v>7</v>
      </c>
      <c r="K21" s="71">
        <f t="shared" si="3"/>
        <v>0</v>
      </c>
      <c r="L21" s="6">
        <v>1.5</v>
      </c>
      <c r="M21" s="6" t="s">
        <v>136</v>
      </c>
      <c r="N21" s="6">
        <v>1</v>
      </c>
      <c r="O21" s="64">
        <v>20</v>
      </c>
      <c r="P21" s="64">
        <v>10</v>
      </c>
      <c r="Q21" s="64">
        <v>35</v>
      </c>
      <c r="R21" s="64" t="s">
        <v>137</v>
      </c>
      <c r="S21" s="64" t="s">
        <v>138</v>
      </c>
      <c r="T21" s="65" t="s">
        <v>174</v>
      </c>
      <c r="U21" s="67"/>
      <c r="V21" s="63" t="s">
        <v>124</v>
      </c>
      <c r="W21" s="64" t="s">
        <v>135</v>
      </c>
      <c r="X21" s="64">
        <v>60</v>
      </c>
      <c r="Y21" s="64">
        <v>192</v>
      </c>
      <c r="Z21" s="6">
        <v>11</v>
      </c>
      <c r="AA21" s="6">
        <v>241</v>
      </c>
      <c r="AB21" s="64">
        <v>300</v>
      </c>
      <c r="AC21" s="6">
        <v>8</v>
      </c>
      <c r="AD21" s="6">
        <v>8</v>
      </c>
      <c r="AE21" s="6">
        <v>13</v>
      </c>
      <c r="AF21" s="6">
        <f t="shared" si="4"/>
        <v>5</v>
      </c>
      <c r="AG21" s="6">
        <v>2</v>
      </c>
      <c r="AH21" s="68">
        <v>3</v>
      </c>
      <c r="AI21" s="6">
        <v>40</v>
      </c>
      <c r="AJ21" s="64">
        <v>30</v>
      </c>
      <c r="AK21" s="77">
        <v>15</v>
      </c>
      <c r="AL21" s="64">
        <v>17.5</v>
      </c>
      <c r="AM21" s="64" t="s">
        <v>137</v>
      </c>
      <c r="AN21" s="64" t="s">
        <v>138</v>
      </c>
      <c r="AO21" s="65" t="s">
        <v>174</v>
      </c>
      <c r="AQ21" s="63" t="s">
        <v>99</v>
      </c>
      <c r="AR21" s="64" t="s">
        <v>125</v>
      </c>
      <c r="AS21" s="64" t="s">
        <v>200</v>
      </c>
      <c r="AT21" s="64" t="s">
        <v>201</v>
      </c>
      <c r="AU21" s="37" t="s">
        <v>203</v>
      </c>
      <c r="AV21" s="37" t="s">
        <v>204</v>
      </c>
      <c r="AW21" s="37" t="s">
        <v>205</v>
      </c>
      <c r="AX21" s="37" t="s">
        <v>208</v>
      </c>
      <c r="AY21" s="37" t="s">
        <v>209</v>
      </c>
      <c r="AZ21" s="37" t="s">
        <v>106</v>
      </c>
      <c r="BA21" s="144" t="s">
        <v>179</v>
      </c>
      <c r="BB21" s="37" t="s">
        <v>109</v>
      </c>
      <c r="BC21" s="37" t="s">
        <v>108</v>
      </c>
      <c r="BD21" s="37" t="s">
        <v>110</v>
      </c>
      <c r="BE21" s="64" t="s">
        <v>129</v>
      </c>
      <c r="BF21" s="64" t="s">
        <v>130</v>
      </c>
      <c r="BG21" s="75" t="s">
        <v>131</v>
      </c>
      <c r="BH21" s="75" t="s">
        <v>132</v>
      </c>
      <c r="BI21" s="75" t="s">
        <v>133</v>
      </c>
      <c r="BJ21" s="139" t="s">
        <v>173</v>
      </c>
    </row>
    <row r="22" spans="1:67" ht="78.75">
      <c r="A22" s="63" t="s">
        <v>123</v>
      </c>
      <c r="B22" s="64" t="s">
        <v>135</v>
      </c>
      <c r="C22" s="64">
        <v>60</v>
      </c>
      <c r="D22" s="64">
        <v>120</v>
      </c>
      <c r="E22" s="6">
        <v>5</v>
      </c>
      <c r="F22" s="6">
        <v>40</v>
      </c>
      <c r="G22" s="6">
        <v>96</v>
      </c>
      <c r="H22" s="6">
        <v>7</v>
      </c>
      <c r="I22" s="6">
        <v>7</v>
      </c>
      <c r="J22" s="6">
        <v>7</v>
      </c>
      <c r="K22" s="71">
        <f t="shared" si="3"/>
        <v>0</v>
      </c>
      <c r="L22" s="6">
        <v>1.5</v>
      </c>
      <c r="M22" s="6" t="s">
        <v>136</v>
      </c>
      <c r="N22" s="6">
        <v>1</v>
      </c>
      <c r="O22" s="64">
        <v>20</v>
      </c>
      <c r="P22" s="64">
        <v>10</v>
      </c>
      <c r="Q22" s="64">
        <v>35</v>
      </c>
      <c r="R22" s="64" t="s">
        <v>137</v>
      </c>
      <c r="S22" s="64" t="s">
        <v>138</v>
      </c>
      <c r="T22" s="65" t="s">
        <v>174</v>
      </c>
      <c r="U22" s="67"/>
      <c r="V22" s="63" t="s">
        <v>124</v>
      </c>
      <c r="W22" s="64" t="s">
        <v>135</v>
      </c>
      <c r="X22" s="64">
        <v>60</v>
      </c>
      <c r="Y22" s="64">
        <v>192</v>
      </c>
      <c r="Z22" s="6">
        <v>10</v>
      </c>
      <c r="AA22" s="6">
        <v>241</v>
      </c>
      <c r="AB22" s="64">
        <v>300</v>
      </c>
      <c r="AC22" s="6">
        <v>9</v>
      </c>
      <c r="AD22" s="6">
        <v>9</v>
      </c>
      <c r="AE22" s="6">
        <v>13</v>
      </c>
      <c r="AF22" s="6">
        <f t="shared" si="4"/>
        <v>4</v>
      </c>
      <c r="AG22" s="6">
        <v>2</v>
      </c>
      <c r="AH22" s="68">
        <v>3</v>
      </c>
      <c r="AI22" s="6">
        <v>40</v>
      </c>
      <c r="AJ22" s="64">
        <v>30</v>
      </c>
      <c r="AK22" s="77">
        <v>15</v>
      </c>
      <c r="AL22" s="64">
        <v>17.5</v>
      </c>
      <c r="AM22" s="64" t="s">
        <v>137</v>
      </c>
      <c r="AN22" s="64" t="s">
        <v>138</v>
      </c>
      <c r="AO22" s="65" t="s">
        <v>174</v>
      </c>
      <c r="AQ22" s="73" t="s">
        <v>126</v>
      </c>
      <c r="AR22" s="64" t="s">
        <v>135</v>
      </c>
      <c r="AS22" s="64">
        <v>96</v>
      </c>
      <c r="AT22" s="64">
        <v>228</v>
      </c>
      <c r="AU22" s="6">
        <v>25</v>
      </c>
      <c r="AV22" s="6">
        <v>120</v>
      </c>
      <c r="AW22" s="6">
        <v>180</v>
      </c>
      <c r="AX22" s="6">
        <v>10</v>
      </c>
      <c r="AY22" s="6">
        <v>10</v>
      </c>
      <c r="AZ22" s="6">
        <v>18</v>
      </c>
      <c r="BA22" s="6">
        <f>AZ22-AY22</f>
        <v>8</v>
      </c>
      <c r="BB22" s="6">
        <v>1.5</v>
      </c>
      <c r="BC22" s="6">
        <v>30</v>
      </c>
      <c r="BD22" s="68">
        <v>3</v>
      </c>
      <c r="BE22" s="64">
        <v>25</v>
      </c>
      <c r="BF22" s="77">
        <v>12</v>
      </c>
      <c r="BG22" s="64">
        <v>17.5</v>
      </c>
      <c r="BH22" s="64" t="s">
        <v>137</v>
      </c>
      <c r="BI22" s="64" t="s">
        <v>138</v>
      </c>
      <c r="BJ22" s="65" t="s">
        <v>174</v>
      </c>
    </row>
    <row r="23" spans="1:67" ht="79.5" thickBot="1">
      <c r="A23" s="79" t="s">
        <v>123</v>
      </c>
      <c r="B23" s="69" t="s">
        <v>135</v>
      </c>
      <c r="C23" s="69">
        <v>60</v>
      </c>
      <c r="D23" s="69">
        <v>120</v>
      </c>
      <c r="E23" s="70">
        <v>4</v>
      </c>
      <c r="F23" s="70">
        <v>40</v>
      </c>
      <c r="G23" s="70">
        <v>96</v>
      </c>
      <c r="H23" s="70">
        <v>7</v>
      </c>
      <c r="I23" s="70">
        <v>7</v>
      </c>
      <c r="J23" s="70">
        <v>7</v>
      </c>
      <c r="K23" s="71">
        <f t="shared" si="3"/>
        <v>0</v>
      </c>
      <c r="L23" s="70">
        <v>1.5</v>
      </c>
      <c r="M23" s="70" t="s">
        <v>136</v>
      </c>
      <c r="N23" s="70">
        <v>1</v>
      </c>
      <c r="O23" s="69">
        <v>20</v>
      </c>
      <c r="P23" s="69">
        <v>10</v>
      </c>
      <c r="Q23" s="69">
        <v>35</v>
      </c>
      <c r="R23" s="69" t="s">
        <v>137</v>
      </c>
      <c r="S23" s="69" t="s">
        <v>138</v>
      </c>
      <c r="T23" s="140" t="s">
        <v>174</v>
      </c>
      <c r="U23" s="67"/>
      <c r="V23" s="63" t="s">
        <v>124</v>
      </c>
      <c r="W23" s="64" t="s">
        <v>135</v>
      </c>
      <c r="X23" s="64">
        <v>60</v>
      </c>
      <c r="Y23" s="64">
        <v>192</v>
      </c>
      <c r="Z23" s="6">
        <v>9</v>
      </c>
      <c r="AA23" s="6">
        <v>241</v>
      </c>
      <c r="AB23" s="64">
        <v>300</v>
      </c>
      <c r="AC23" s="6">
        <v>10</v>
      </c>
      <c r="AD23" s="6">
        <v>10</v>
      </c>
      <c r="AE23" s="6">
        <v>13</v>
      </c>
      <c r="AF23" s="6">
        <f t="shared" si="4"/>
        <v>3</v>
      </c>
      <c r="AG23" s="6">
        <v>2</v>
      </c>
      <c r="AH23" s="68">
        <v>3</v>
      </c>
      <c r="AI23" s="6">
        <v>40</v>
      </c>
      <c r="AJ23" s="64">
        <v>30</v>
      </c>
      <c r="AK23" s="77">
        <v>15</v>
      </c>
      <c r="AL23" s="64">
        <v>17.5</v>
      </c>
      <c r="AM23" s="64" t="s">
        <v>137</v>
      </c>
      <c r="AN23" s="64" t="s">
        <v>138</v>
      </c>
      <c r="AO23" s="65" t="s">
        <v>174</v>
      </c>
      <c r="AQ23" s="73" t="s">
        <v>126</v>
      </c>
      <c r="AR23" s="64" t="s">
        <v>135</v>
      </c>
      <c r="AS23" s="64">
        <v>96</v>
      </c>
      <c r="AT23" s="64">
        <v>228</v>
      </c>
      <c r="AU23" s="6">
        <v>24</v>
      </c>
      <c r="AV23" s="6">
        <v>180</v>
      </c>
      <c r="AW23" s="6">
        <v>240</v>
      </c>
      <c r="AX23" s="6">
        <v>11</v>
      </c>
      <c r="AY23" s="6">
        <v>11</v>
      </c>
      <c r="AZ23" s="6">
        <v>18</v>
      </c>
      <c r="BA23" s="6">
        <f t="shared" ref="BA23:BA35" si="5">AZ23-AY23</f>
        <v>7</v>
      </c>
      <c r="BB23" s="6">
        <v>1.5</v>
      </c>
      <c r="BC23" s="6">
        <v>35</v>
      </c>
      <c r="BD23" s="68">
        <v>3</v>
      </c>
      <c r="BE23" s="64">
        <v>30</v>
      </c>
      <c r="BF23" s="77">
        <v>15</v>
      </c>
      <c r="BG23" s="64">
        <v>17.5</v>
      </c>
      <c r="BH23" s="64" t="s">
        <v>137</v>
      </c>
      <c r="BI23" s="64" t="s">
        <v>138</v>
      </c>
      <c r="BJ23" s="65" t="s">
        <v>174</v>
      </c>
    </row>
    <row r="24" spans="1:67" ht="78.75">
      <c r="V24" s="63" t="s">
        <v>124</v>
      </c>
      <c r="W24" s="64" t="s">
        <v>135</v>
      </c>
      <c r="X24" s="64">
        <v>60</v>
      </c>
      <c r="Y24" s="64">
        <v>192</v>
      </c>
      <c r="Z24" s="6">
        <v>8</v>
      </c>
      <c r="AA24" s="6">
        <v>241</v>
      </c>
      <c r="AB24" s="64">
        <v>300</v>
      </c>
      <c r="AC24" s="6">
        <v>11</v>
      </c>
      <c r="AD24" s="6">
        <v>11</v>
      </c>
      <c r="AE24" s="6">
        <v>13</v>
      </c>
      <c r="AF24" s="6">
        <f t="shared" si="4"/>
        <v>2</v>
      </c>
      <c r="AG24" s="6">
        <v>2</v>
      </c>
      <c r="AH24" s="68">
        <v>3</v>
      </c>
      <c r="AI24" s="6">
        <v>40</v>
      </c>
      <c r="AJ24" s="64">
        <v>30</v>
      </c>
      <c r="AK24" s="77">
        <v>15</v>
      </c>
      <c r="AL24" s="64">
        <v>17.5</v>
      </c>
      <c r="AM24" s="64" t="s">
        <v>137</v>
      </c>
      <c r="AN24" s="64" t="s">
        <v>138</v>
      </c>
      <c r="AO24" s="65" t="s">
        <v>174</v>
      </c>
      <c r="AQ24" s="73" t="s">
        <v>126</v>
      </c>
      <c r="AR24" s="64" t="s">
        <v>135</v>
      </c>
      <c r="AS24" s="64">
        <v>96</v>
      </c>
      <c r="AT24" s="64">
        <v>228</v>
      </c>
      <c r="AU24" s="6">
        <v>23</v>
      </c>
      <c r="AV24" s="6">
        <v>241</v>
      </c>
      <c r="AW24" s="6">
        <v>300</v>
      </c>
      <c r="AX24" s="6">
        <v>12</v>
      </c>
      <c r="AY24" s="6">
        <v>12</v>
      </c>
      <c r="AZ24" s="6">
        <v>18</v>
      </c>
      <c r="BA24" s="6">
        <f t="shared" si="5"/>
        <v>6</v>
      </c>
      <c r="BB24" s="6">
        <v>2</v>
      </c>
      <c r="BC24" s="6">
        <v>40</v>
      </c>
      <c r="BD24" s="68">
        <v>4</v>
      </c>
      <c r="BE24" s="64">
        <v>36</v>
      </c>
      <c r="BF24" s="77">
        <v>18</v>
      </c>
      <c r="BG24" s="64">
        <v>17.5</v>
      </c>
      <c r="BH24" s="64" t="s">
        <v>137</v>
      </c>
      <c r="BI24" s="64" t="s">
        <v>138</v>
      </c>
      <c r="BJ24" s="65" t="s">
        <v>174</v>
      </c>
    </row>
    <row r="25" spans="1:67" ht="78.75">
      <c r="V25" s="63" t="s">
        <v>124</v>
      </c>
      <c r="W25" s="64" t="s">
        <v>135</v>
      </c>
      <c r="X25" s="64">
        <v>60</v>
      </c>
      <c r="Y25" s="64">
        <v>192</v>
      </c>
      <c r="Z25" s="6">
        <v>7</v>
      </c>
      <c r="AA25" s="6">
        <v>241</v>
      </c>
      <c r="AB25" s="64">
        <v>300</v>
      </c>
      <c r="AC25" s="6">
        <v>12</v>
      </c>
      <c r="AD25" s="6">
        <v>12</v>
      </c>
      <c r="AE25" s="6">
        <v>13</v>
      </c>
      <c r="AF25" s="6">
        <f t="shared" si="4"/>
        <v>1</v>
      </c>
      <c r="AG25" s="6">
        <v>2</v>
      </c>
      <c r="AH25" s="68">
        <v>3</v>
      </c>
      <c r="AI25" s="6">
        <v>40</v>
      </c>
      <c r="AJ25" s="64">
        <v>30</v>
      </c>
      <c r="AK25" s="77">
        <v>15</v>
      </c>
      <c r="AL25" s="64">
        <v>17.5</v>
      </c>
      <c r="AM25" s="64" t="s">
        <v>137</v>
      </c>
      <c r="AN25" s="64" t="s">
        <v>138</v>
      </c>
      <c r="AO25" s="65" t="s">
        <v>174</v>
      </c>
      <c r="AQ25" s="73" t="s">
        <v>126</v>
      </c>
      <c r="AR25" s="64" t="s">
        <v>135</v>
      </c>
      <c r="AS25" s="64">
        <v>96</v>
      </c>
      <c r="AT25" s="64">
        <v>228</v>
      </c>
      <c r="AU25" s="6">
        <v>22</v>
      </c>
      <c r="AV25" s="6">
        <v>241</v>
      </c>
      <c r="AW25" s="6">
        <v>300</v>
      </c>
      <c r="AX25" s="6">
        <v>13</v>
      </c>
      <c r="AY25" s="6">
        <v>13</v>
      </c>
      <c r="AZ25" s="6">
        <v>18</v>
      </c>
      <c r="BA25" s="6">
        <f t="shared" si="5"/>
        <v>5</v>
      </c>
      <c r="BB25" s="6">
        <v>2</v>
      </c>
      <c r="BC25" s="6">
        <v>40</v>
      </c>
      <c r="BD25" s="68">
        <v>4</v>
      </c>
      <c r="BE25" s="64">
        <v>36</v>
      </c>
      <c r="BF25" s="77">
        <v>18</v>
      </c>
      <c r="BG25" s="64">
        <v>17.5</v>
      </c>
      <c r="BH25" s="64" t="s">
        <v>137</v>
      </c>
      <c r="BI25" s="64" t="s">
        <v>138</v>
      </c>
      <c r="BJ25" s="65" t="s">
        <v>174</v>
      </c>
    </row>
    <row r="26" spans="1:67" ht="79.5" thickBot="1">
      <c r="V26" s="79" t="s">
        <v>124</v>
      </c>
      <c r="W26" s="69" t="s">
        <v>135</v>
      </c>
      <c r="X26" s="69">
        <v>60</v>
      </c>
      <c r="Y26" s="69">
        <v>192</v>
      </c>
      <c r="Z26" s="70">
        <v>6</v>
      </c>
      <c r="AA26" s="70">
        <v>241</v>
      </c>
      <c r="AB26" s="69">
        <v>300</v>
      </c>
      <c r="AC26" s="70">
        <v>12</v>
      </c>
      <c r="AD26" s="70">
        <v>12</v>
      </c>
      <c r="AE26" s="70">
        <v>13</v>
      </c>
      <c r="AF26" s="6">
        <f t="shared" si="4"/>
        <v>1</v>
      </c>
      <c r="AG26" s="70">
        <v>2</v>
      </c>
      <c r="AH26" s="72">
        <v>3</v>
      </c>
      <c r="AI26" s="70">
        <v>40</v>
      </c>
      <c r="AJ26" s="69">
        <v>30</v>
      </c>
      <c r="AK26" s="82">
        <v>15</v>
      </c>
      <c r="AL26" s="69">
        <v>17.5</v>
      </c>
      <c r="AM26" s="69" t="s">
        <v>137</v>
      </c>
      <c r="AN26" s="69" t="s">
        <v>138</v>
      </c>
      <c r="AO26" s="140" t="s">
        <v>174</v>
      </c>
      <c r="AQ26" s="73" t="s">
        <v>126</v>
      </c>
      <c r="AR26" s="64" t="s">
        <v>135</v>
      </c>
      <c r="AS26" s="64">
        <v>96</v>
      </c>
      <c r="AT26" s="64">
        <v>228</v>
      </c>
      <c r="AU26" s="6">
        <v>21</v>
      </c>
      <c r="AV26" s="6">
        <v>241</v>
      </c>
      <c r="AW26" s="6">
        <v>300</v>
      </c>
      <c r="AX26" s="6">
        <v>14</v>
      </c>
      <c r="AY26" s="6">
        <v>14</v>
      </c>
      <c r="AZ26" s="6">
        <v>18</v>
      </c>
      <c r="BA26" s="6">
        <f t="shared" si="5"/>
        <v>4</v>
      </c>
      <c r="BB26" s="6">
        <v>2</v>
      </c>
      <c r="BC26" s="6">
        <v>40</v>
      </c>
      <c r="BD26" s="68">
        <v>4</v>
      </c>
      <c r="BE26" s="64">
        <v>36</v>
      </c>
      <c r="BF26" s="77">
        <v>18</v>
      </c>
      <c r="BG26" s="64">
        <v>17.5</v>
      </c>
      <c r="BH26" s="64" t="s">
        <v>137</v>
      </c>
      <c r="BI26" s="64" t="s">
        <v>138</v>
      </c>
      <c r="BJ26" s="65" t="s">
        <v>174</v>
      </c>
    </row>
    <row r="27" spans="1:67" ht="78.75">
      <c r="AQ27" s="73" t="s">
        <v>126</v>
      </c>
      <c r="AR27" s="64" t="s">
        <v>135</v>
      </c>
      <c r="AS27" s="64">
        <v>96</v>
      </c>
      <c r="AT27" s="64">
        <v>228</v>
      </c>
      <c r="AU27" s="6">
        <v>20</v>
      </c>
      <c r="AV27" s="6">
        <v>241</v>
      </c>
      <c r="AW27" s="6">
        <v>300</v>
      </c>
      <c r="AX27" s="6">
        <v>15</v>
      </c>
      <c r="AY27" s="6">
        <v>15</v>
      </c>
      <c r="AZ27" s="6">
        <v>18</v>
      </c>
      <c r="BA27" s="6">
        <f t="shared" si="5"/>
        <v>3</v>
      </c>
      <c r="BB27" s="6">
        <v>2</v>
      </c>
      <c r="BC27" s="6">
        <v>40</v>
      </c>
      <c r="BD27" s="68">
        <v>4</v>
      </c>
      <c r="BE27" s="64">
        <v>36</v>
      </c>
      <c r="BF27" s="77">
        <v>18</v>
      </c>
      <c r="BG27" s="64">
        <v>17.5</v>
      </c>
      <c r="BH27" s="64" t="s">
        <v>137</v>
      </c>
      <c r="BI27" s="64" t="s">
        <v>138</v>
      </c>
      <c r="BJ27" s="65" t="s">
        <v>174</v>
      </c>
    </row>
    <row r="28" spans="1:67" ht="79.5" thickBot="1">
      <c r="AQ28" s="73" t="s">
        <v>126</v>
      </c>
      <c r="AR28" s="64" t="s">
        <v>135</v>
      </c>
      <c r="AS28" s="64">
        <v>96</v>
      </c>
      <c r="AT28" s="64">
        <v>228</v>
      </c>
      <c r="AU28" s="6">
        <v>19</v>
      </c>
      <c r="AV28" s="6">
        <v>241</v>
      </c>
      <c r="AW28" s="6">
        <v>300</v>
      </c>
      <c r="AX28" s="6">
        <v>16</v>
      </c>
      <c r="AY28" s="6">
        <v>16</v>
      </c>
      <c r="AZ28" s="6">
        <v>18</v>
      </c>
      <c r="BA28" s="6">
        <f t="shared" si="5"/>
        <v>2</v>
      </c>
      <c r="BB28" s="6">
        <v>2</v>
      </c>
      <c r="BC28" s="6">
        <v>40</v>
      </c>
      <c r="BD28" s="68">
        <v>4</v>
      </c>
      <c r="BE28" s="64">
        <v>36</v>
      </c>
      <c r="BF28" s="77">
        <v>18</v>
      </c>
      <c r="BG28" s="64">
        <v>17.5</v>
      </c>
      <c r="BH28" s="64" t="s">
        <v>137</v>
      </c>
      <c r="BI28" s="64" t="s">
        <v>138</v>
      </c>
      <c r="BJ28" s="65" t="s">
        <v>174</v>
      </c>
    </row>
    <row r="29" spans="1:67" ht="79.5" thickBot="1">
      <c r="V29" s="295" t="s">
        <v>175</v>
      </c>
      <c r="W29" s="296"/>
      <c r="X29" s="296"/>
      <c r="Y29" s="296"/>
      <c r="Z29" s="296"/>
      <c r="AA29" s="296"/>
      <c r="AB29" s="296"/>
      <c r="AC29" s="296"/>
      <c r="AD29" s="296"/>
      <c r="AE29" s="296"/>
      <c r="AF29" s="296"/>
      <c r="AG29" s="296"/>
      <c r="AH29" s="296"/>
      <c r="AI29" s="296"/>
      <c r="AJ29" s="296"/>
      <c r="AK29" s="296"/>
      <c r="AL29" s="296"/>
      <c r="AM29" s="296"/>
      <c r="AN29" s="296"/>
      <c r="AO29" s="297"/>
      <c r="AQ29" s="73" t="s">
        <v>126</v>
      </c>
      <c r="AR29" s="64" t="s">
        <v>135</v>
      </c>
      <c r="AS29" s="64">
        <v>96</v>
      </c>
      <c r="AT29" s="64">
        <v>228</v>
      </c>
      <c r="AU29" s="6">
        <v>18</v>
      </c>
      <c r="AV29" s="6">
        <v>241</v>
      </c>
      <c r="AW29" s="6">
        <v>300</v>
      </c>
      <c r="AX29" s="6">
        <v>17</v>
      </c>
      <c r="AY29" s="6">
        <v>17</v>
      </c>
      <c r="AZ29" s="6">
        <v>18</v>
      </c>
      <c r="BA29" s="6">
        <f t="shared" si="5"/>
        <v>1</v>
      </c>
      <c r="BB29" s="6">
        <v>2</v>
      </c>
      <c r="BC29" s="6">
        <v>40</v>
      </c>
      <c r="BD29" s="68">
        <v>4</v>
      </c>
      <c r="BE29" s="64">
        <v>36</v>
      </c>
      <c r="BF29" s="77">
        <v>18</v>
      </c>
      <c r="BG29" s="64">
        <v>17.5</v>
      </c>
      <c r="BH29" s="64" t="s">
        <v>137</v>
      </c>
      <c r="BI29" s="64" t="s">
        <v>138</v>
      </c>
      <c r="BJ29" s="65" t="s">
        <v>174</v>
      </c>
    </row>
    <row r="30" spans="1:67" ht="94.5">
      <c r="V30" s="63" t="s">
        <v>115</v>
      </c>
      <c r="W30" s="64" t="s">
        <v>100</v>
      </c>
      <c r="X30" s="64" t="s">
        <v>200</v>
      </c>
      <c r="Y30" s="64" t="s">
        <v>201</v>
      </c>
      <c r="Z30" s="37" t="s">
        <v>203</v>
      </c>
      <c r="AA30" s="37" t="s">
        <v>204</v>
      </c>
      <c r="AB30" s="37" t="s">
        <v>205</v>
      </c>
      <c r="AC30" s="37" t="s">
        <v>104</v>
      </c>
      <c r="AD30" s="37" t="s">
        <v>105</v>
      </c>
      <c r="AE30" s="37" t="s">
        <v>107</v>
      </c>
      <c r="AF30" s="144" t="s">
        <v>179</v>
      </c>
      <c r="AG30" s="37" t="s">
        <v>109</v>
      </c>
      <c r="AH30" s="37" t="s">
        <v>110</v>
      </c>
      <c r="AI30" s="37" t="s">
        <v>108</v>
      </c>
      <c r="AJ30" s="64" t="s">
        <v>129</v>
      </c>
      <c r="AK30" s="64" t="s">
        <v>130</v>
      </c>
      <c r="AL30" s="75" t="s">
        <v>131</v>
      </c>
      <c r="AM30" s="75" t="s">
        <v>132</v>
      </c>
      <c r="AN30" s="76" t="s">
        <v>133</v>
      </c>
      <c r="AO30" s="139" t="s">
        <v>173</v>
      </c>
      <c r="AQ30" s="73" t="s">
        <v>126</v>
      </c>
      <c r="AR30" s="64" t="s">
        <v>135</v>
      </c>
      <c r="AS30" s="64">
        <v>96</v>
      </c>
      <c r="AT30" s="64">
        <v>228</v>
      </c>
      <c r="AU30" s="163">
        <v>16</v>
      </c>
      <c r="AV30" s="6">
        <v>241</v>
      </c>
      <c r="AW30" s="6">
        <v>300</v>
      </c>
      <c r="AX30" s="163">
        <v>18</v>
      </c>
      <c r="AY30" s="163">
        <v>18</v>
      </c>
      <c r="AZ30" s="163">
        <v>18</v>
      </c>
      <c r="BA30" s="163">
        <f t="shared" si="5"/>
        <v>0</v>
      </c>
      <c r="BB30" s="6">
        <v>2</v>
      </c>
      <c r="BC30" s="6">
        <v>40</v>
      </c>
      <c r="BD30" s="68">
        <v>4</v>
      </c>
      <c r="BE30" s="64">
        <v>36</v>
      </c>
      <c r="BF30" s="77">
        <v>18</v>
      </c>
      <c r="BG30" s="64">
        <v>17.5</v>
      </c>
      <c r="BH30" s="64" t="s">
        <v>137</v>
      </c>
      <c r="BI30" s="64" t="s">
        <v>138</v>
      </c>
      <c r="BJ30" s="65" t="s">
        <v>174</v>
      </c>
    </row>
    <row r="31" spans="1:67" ht="78.75">
      <c r="V31" s="63" t="s">
        <v>127</v>
      </c>
      <c r="W31" s="64" t="s">
        <v>135</v>
      </c>
      <c r="X31" s="64">
        <v>60</v>
      </c>
      <c r="Y31" s="64">
        <v>192</v>
      </c>
      <c r="Z31" s="6">
        <v>15</v>
      </c>
      <c r="AA31" s="6">
        <v>60</v>
      </c>
      <c r="AB31" s="64">
        <v>120</v>
      </c>
      <c r="AC31" s="6">
        <v>4</v>
      </c>
      <c r="AD31" s="6">
        <v>4</v>
      </c>
      <c r="AE31" s="6">
        <v>17</v>
      </c>
      <c r="AF31" s="6">
        <f>AE31-AD31</f>
        <v>13</v>
      </c>
      <c r="AG31" s="6">
        <v>1.5</v>
      </c>
      <c r="AH31" s="68">
        <v>2</v>
      </c>
      <c r="AI31" s="6">
        <v>25</v>
      </c>
      <c r="AJ31" s="64">
        <v>20</v>
      </c>
      <c r="AK31" s="64">
        <v>10</v>
      </c>
      <c r="AL31" s="64">
        <v>17.5</v>
      </c>
      <c r="AM31" s="64" t="s">
        <v>137</v>
      </c>
      <c r="AN31" s="64" t="s">
        <v>138</v>
      </c>
      <c r="AO31" s="65" t="s">
        <v>174</v>
      </c>
      <c r="AQ31" s="73" t="s">
        <v>126</v>
      </c>
      <c r="AR31" s="64" t="s">
        <v>135</v>
      </c>
      <c r="AS31" s="64">
        <v>96</v>
      </c>
      <c r="AT31" s="64">
        <v>228</v>
      </c>
      <c r="AU31" s="6">
        <v>15</v>
      </c>
      <c r="AV31" s="6">
        <v>241</v>
      </c>
      <c r="AW31" s="6">
        <v>300</v>
      </c>
      <c r="AX31" s="71">
        <v>19</v>
      </c>
      <c r="AY31" s="71">
        <v>19</v>
      </c>
      <c r="AZ31" s="71">
        <v>18</v>
      </c>
      <c r="BA31" s="71">
        <f t="shared" si="5"/>
        <v>-1</v>
      </c>
      <c r="BB31" s="6">
        <v>2</v>
      </c>
      <c r="BC31" s="6">
        <v>40</v>
      </c>
      <c r="BD31" s="68">
        <v>4</v>
      </c>
      <c r="BE31" s="64">
        <v>36</v>
      </c>
      <c r="BF31" s="77">
        <v>18</v>
      </c>
      <c r="BG31" s="64">
        <v>17.5</v>
      </c>
      <c r="BH31" s="64" t="s">
        <v>137</v>
      </c>
      <c r="BI31" s="64" t="s">
        <v>138</v>
      </c>
      <c r="BJ31" s="65" t="s">
        <v>174</v>
      </c>
    </row>
    <row r="32" spans="1:67" ht="78.75">
      <c r="V32" s="63" t="s">
        <v>127</v>
      </c>
      <c r="W32" s="64" t="s">
        <v>135</v>
      </c>
      <c r="X32" s="64">
        <v>60</v>
      </c>
      <c r="Y32" s="64">
        <v>192</v>
      </c>
      <c r="Z32" s="6">
        <v>14</v>
      </c>
      <c r="AA32" s="6">
        <v>121</v>
      </c>
      <c r="AB32" s="64">
        <v>180</v>
      </c>
      <c r="AC32" s="6">
        <v>5</v>
      </c>
      <c r="AD32" s="6">
        <v>5</v>
      </c>
      <c r="AE32" s="6">
        <v>17</v>
      </c>
      <c r="AF32" s="6">
        <f t="shared" ref="AF32:AF40" si="6">AE32-AD32</f>
        <v>12</v>
      </c>
      <c r="AG32" s="6">
        <v>1.5</v>
      </c>
      <c r="AH32" s="68">
        <v>3</v>
      </c>
      <c r="AI32" s="6">
        <v>30</v>
      </c>
      <c r="AJ32" s="64">
        <v>25</v>
      </c>
      <c r="AK32" s="77">
        <v>12</v>
      </c>
      <c r="AL32" s="64">
        <v>17.5</v>
      </c>
      <c r="AM32" s="64" t="s">
        <v>137</v>
      </c>
      <c r="AN32" s="64" t="s">
        <v>138</v>
      </c>
      <c r="AO32" s="65" t="s">
        <v>174</v>
      </c>
      <c r="AQ32" s="73" t="s">
        <v>126</v>
      </c>
      <c r="AR32" s="64" t="s">
        <v>135</v>
      </c>
      <c r="AS32" s="64">
        <v>96</v>
      </c>
      <c r="AT32" s="64">
        <v>228</v>
      </c>
      <c r="AU32" s="6">
        <v>14</v>
      </c>
      <c r="AV32" s="6">
        <v>241</v>
      </c>
      <c r="AW32" s="6">
        <v>300</v>
      </c>
      <c r="AX32" s="71">
        <v>20</v>
      </c>
      <c r="AY32" s="71">
        <v>20</v>
      </c>
      <c r="AZ32" s="71">
        <v>18</v>
      </c>
      <c r="BA32" s="71">
        <f t="shared" si="5"/>
        <v>-2</v>
      </c>
      <c r="BB32" s="6">
        <v>2</v>
      </c>
      <c r="BC32" s="6">
        <v>40</v>
      </c>
      <c r="BD32" s="68">
        <v>4</v>
      </c>
      <c r="BE32" s="64">
        <v>36</v>
      </c>
      <c r="BF32" s="77">
        <v>18</v>
      </c>
      <c r="BG32" s="64">
        <v>17.5</v>
      </c>
      <c r="BH32" s="64" t="s">
        <v>137</v>
      </c>
      <c r="BI32" s="64" t="s">
        <v>138</v>
      </c>
      <c r="BJ32" s="65" t="s">
        <v>174</v>
      </c>
    </row>
    <row r="33" spans="22:62" ht="78.75">
      <c r="V33" s="63" t="s">
        <v>127</v>
      </c>
      <c r="W33" s="64" t="s">
        <v>135</v>
      </c>
      <c r="X33" s="64">
        <v>60</v>
      </c>
      <c r="Y33" s="64">
        <v>192</v>
      </c>
      <c r="Z33" s="6">
        <v>13</v>
      </c>
      <c r="AA33" s="6">
        <v>181</v>
      </c>
      <c r="AB33" s="64">
        <v>240</v>
      </c>
      <c r="AC33" s="6">
        <v>6</v>
      </c>
      <c r="AD33" s="6">
        <v>6</v>
      </c>
      <c r="AE33" s="6">
        <v>17</v>
      </c>
      <c r="AF33" s="6">
        <f t="shared" si="6"/>
        <v>11</v>
      </c>
      <c r="AG33" s="6">
        <v>2</v>
      </c>
      <c r="AH33" s="68">
        <v>3</v>
      </c>
      <c r="AI33" s="6">
        <v>40</v>
      </c>
      <c r="AJ33" s="64">
        <v>30</v>
      </c>
      <c r="AK33" s="77">
        <v>15</v>
      </c>
      <c r="AL33" s="64">
        <v>17.5</v>
      </c>
      <c r="AM33" s="64" t="s">
        <v>137</v>
      </c>
      <c r="AN33" s="64" t="s">
        <v>138</v>
      </c>
      <c r="AO33" s="65" t="s">
        <v>174</v>
      </c>
      <c r="AQ33" s="73" t="s">
        <v>126</v>
      </c>
      <c r="AR33" s="64" t="s">
        <v>135</v>
      </c>
      <c r="AS33" s="64">
        <v>96</v>
      </c>
      <c r="AT33" s="64">
        <v>228</v>
      </c>
      <c r="AU33" s="6">
        <v>13</v>
      </c>
      <c r="AV33" s="6">
        <v>241</v>
      </c>
      <c r="AW33" s="6">
        <v>300</v>
      </c>
      <c r="AX33" s="71">
        <v>21</v>
      </c>
      <c r="AY33" s="71">
        <v>21</v>
      </c>
      <c r="AZ33" s="71">
        <v>18</v>
      </c>
      <c r="BA33" s="71">
        <f t="shared" si="5"/>
        <v>-3</v>
      </c>
      <c r="BB33" s="6">
        <v>2</v>
      </c>
      <c r="BC33" s="6">
        <v>40</v>
      </c>
      <c r="BD33" s="68">
        <v>4</v>
      </c>
      <c r="BE33" s="64">
        <v>36</v>
      </c>
      <c r="BF33" s="77">
        <v>18</v>
      </c>
      <c r="BG33" s="64">
        <v>17.5</v>
      </c>
      <c r="BH33" s="64" t="s">
        <v>137</v>
      </c>
      <c r="BI33" s="64" t="s">
        <v>138</v>
      </c>
      <c r="BJ33" s="65" t="s">
        <v>174</v>
      </c>
    </row>
    <row r="34" spans="22:62" ht="78.75">
      <c r="V34" s="63" t="s">
        <v>127</v>
      </c>
      <c r="W34" s="64" t="s">
        <v>135</v>
      </c>
      <c r="X34" s="64">
        <v>60</v>
      </c>
      <c r="Y34" s="64">
        <v>192</v>
      </c>
      <c r="Z34" s="6">
        <v>12</v>
      </c>
      <c r="AA34" s="6">
        <v>241</v>
      </c>
      <c r="AB34" s="64">
        <v>300</v>
      </c>
      <c r="AC34" s="6">
        <v>7</v>
      </c>
      <c r="AD34" s="6">
        <v>7</v>
      </c>
      <c r="AE34" s="6">
        <v>17</v>
      </c>
      <c r="AF34" s="6">
        <f t="shared" si="6"/>
        <v>10</v>
      </c>
      <c r="AG34" s="6">
        <v>2</v>
      </c>
      <c r="AH34" s="68">
        <v>3</v>
      </c>
      <c r="AI34" s="6">
        <v>40</v>
      </c>
      <c r="AJ34" s="64">
        <v>30</v>
      </c>
      <c r="AK34" s="77">
        <v>15</v>
      </c>
      <c r="AL34" s="64">
        <v>17.5</v>
      </c>
      <c r="AM34" s="64" t="s">
        <v>137</v>
      </c>
      <c r="AN34" s="64" t="s">
        <v>138</v>
      </c>
      <c r="AO34" s="65" t="s">
        <v>174</v>
      </c>
      <c r="AQ34" s="73" t="s">
        <v>126</v>
      </c>
      <c r="AR34" s="64" t="s">
        <v>135</v>
      </c>
      <c r="AS34" s="64">
        <v>96</v>
      </c>
      <c r="AT34" s="64">
        <v>228</v>
      </c>
      <c r="AU34" s="6">
        <v>12</v>
      </c>
      <c r="AV34" s="6">
        <v>241</v>
      </c>
      <c r="AW34" s="6">
        <v>300</v>
      </c>
      <c r="AX34" s="71">
        <v>22</v>
      </c>
      <c r="AY34" s="71">
        <v>22</v>
      </c>
      <c r="AZ34" s="71">
        <v>18</v>
      </c>
      <c r="BA34" s="71">
        <f t="shared" si="5"/>
        <v>-4</v>
      </c>
      <c r="BB34" s="6">
        <v>2</v>
      </c>
      <c r="BC34" s="6">
        <v>40</v>
      </c>
      <c r="BD34" s="68">
        <v>4</v>
      </c>
      <c r="BE34" s="64">
        <v>36</v>
      </c>
      <c r="BF34" s="77">
        <v>18</v>
      </c>
      <c r="BG34" s="64">
        <v>17.5</v>
      </c>
      <c r="BH34" s="64" t="s">
        <v>137</v>
      </c>
      <c r="BI34" s="64" t="s">
        <v>138</v>
      </c>
      <c r="BJ34" s="65" t="s">
        <v>174</v>
      </c>
    </row>
    <row r="35" spans="22:62" ht="78.75">
      <c r="V35" s="63" t="s">
        <v>127</v>
      </c>
      <c r="W35" s="64" t="s">
        <v>135</v>
      </c>
      <c r="X35" s="64">
        <v>60</v>
      </c>
      <c r="Y35" s="64">
        <v>192</v>
      </c>
      <c r="Z35" s="6">
        <v>11</v>
      </c>
      <c r="AA35" s="6">
        <v>241</v>
      </c>
      <c r="AB35" s="64">
        <v>300</v>
      </c>
      <c r="AC35" s="6">
        <v>8</v>
      </c>
      <c r="AD35" s="6">
        <v>8</v>
      </c>
      <c r="AE35" s="6">
        <v>17</v>
      </c>
      <c r="AF35" s="6">
        <f t="shared" si="6"/>
        <v>9</v>
      </c>
      <c r="AG35" s="6">
        <v>2</v>
      </c>
      <c r="AH35" s="68">
        <v>3</v>
      </c>
      <c r="AI35" s="6">
        <v>40</v>
      </c>
      <c r="AJ35" s="64">
        <v>30</v>
      </c>
      <c r="AK35" s="77">
        <v>15</v>
      </c>
      <c r="AL35" s="64">
        <v>17.5</v>
      </c>
      <c r="AM35" s="64" t="s">
        <v>137</v>
      </c>
      <c r="AN35" s="64" t="s">
        <v>138</v>
      </c>
      <c r="AO35" s="65" t="s">
        <v>174</v>
      </c>
      <c r="AQ35" s="73" t="s">
        <v>126</v>
      </c>
      <c r="AR35" s="64" t="s">
        <v>135</v>
      </c>
      <c r="AS35" s="64">
        <v>96</v>
      </c>
      <c r="AT35" s="64">
        <v>228</v>
      </c>
      <c r="AU35" s="6">
        <v>11</v>
      </c>
      <c r="AV35" s="6">
        <v>241</v>
      </c>
      <c r="AW35" s="6">
        <v>300</v>
      </c>
      <c r="AX35" s="71">
        <v>23</v>
      </c>
      <c r="AY35" s="71">
        <v>23</v>
      </c>
      <c r="AZ35" s="71">
        <v>18</v>
      </c>
      <c r="BA35" s="71">
        <f t="shared" si="5"/>
        <v>-5</v>
      </c>
      <c r="BB35" s="6">
        <v>2</v>
      </c>
      <c r="BC35" s="6">
        <v>40</v>
      </c>
      <c r="BD35" s="68">
        <v>4</v>
      </c>
      <c r="BE35" s="64">
        <v>36</v>
      </c>
      <c r="BF35" s="77">
        <v>18</v>
      </c>
      <c r="BG35" s="64">
        <v>17.5</v>
      </c>
      <c r="BH35" s="64" t="s">
        <v>137</v>
      </c>
      <c r="BI35" s="64" t="s">
        <v>138</v>
      </c>
      <c r="BJ35" s="65" t="s">
        <v>174</v>
      </c>
    </row>
    <row r="36" spans="22:62" ht="79.5" thickBot="1">
      <c r="V36" s="63" t="s">
        <v>127</v>
      </c>
      <c r="W36" s="64" t="s">
        <v>135</v>
      </c>
      <c r="X36" s="64">
        <v>60</v>
      </c>
      <c r="Y36" s="64">
        <v>192</v>
      </c>
      <c r="Z36" s="6">
        <v>10</v>
      </c>
      <c r="AA36" s="6">
        <v>241</v>
      </c>
      <c r="AB36" s="64">
        <v>300</v>
      </c>
      <c r="AC36" s="6">
        <v>9</v>
      </c>
      <c r="AD36" s="6">
        <v>9</v>
      </c>
      <c r="AE36" s="6">
        <v>17</v>
      </c>
      <c r="AF36" s="6">
        <f t="shared" si="6"/>
        <v>8</v>
      </c>
      <c r="AG36" s="6">
        <v>2</v>
      </c>
      <c r="AH36" s="68">
        <v>3</v>
      </c>
      <c r="AI36" s="6">
        <v>40</v>
      </c>
      <c r="AJ36" s="64">
        <v>30</v>
      </c>
      <c r="AK36" s="77">
        <v>15</v>
      </c>
      <c r="AL36" s="64">
        <v>17.5</v>
      </c>
      <c r="AM36" s="64" t="s">
        <v>137</v>
      </c>
      <c r="AN36" s="64" t="s">
        <v>138</v>
      </c>
      <c r="AO36" s="65" t="s">
        <v>174</v>
      </c>
      <c r="AQ36" s="83" t="s">
        <v>126</v>
      </c>
      <c r="AR36" s="69" t="s">
        <v>135</v>
      </c>
      <c r="AS36" s="69">
        <v>96</v>
      </c>
      <c r="AT36" s="69">
        <v>228</v>
      </c>
      <c r="AU36" s="70">
        <v>10</v>
      </c>
      <c r="AV36" s="70">
        <v>241</v>
      </c>
      <c r="AW36" s="70">
        <v>300</v>
      </c>
      <c r="AX36" s="71">
        <v>24</v>
      </c>
      <c r="AY36" s="71">
        <v>24</v>
      </c>
      <c r="AZ36" s="80">
        <v>18</v>
      </c>
      <c r="BA36" s="80"/>
      <c r="BB36" s="70">
        <v>2</v>
      </c>
      <c r="BC36" s="70">
        <v>40</v>
      </c>
      <c r="BD36" s="72">
        <v>4</v>
      </c>
      <c r="BE36" s="69">
        <v>36</v>
      </c>
      <c r="BF36" s="82">
        <v>18</v>
      </c>
      <c r="BG36" s="69">
        <v>17.5</v>
      </c>
      <c r="BH36" s="69" t="s">
        <v>137</v>
      </c>
      <c r="BI36" s="69" t="s">
        <v>138</v>
      </c>
      <c r="BJ36" s="140" t="s">
        <v>174</v>
      </c>
    </row>
    <row r="37" spans="22:62" ht="78.75">
      <c r="V37" s="63" t="s">
        <v>127</v>
      </c>
      <c r="W37" s="64" t="s">
        <v>135</v>
      </c>
      <c r="X37" s="64">
        <v>60</v>
      </c>
      <c r="Y37" s="64">
        <v>192</v>
      </c>
      <c r="Z37" s="6">
        <v>9</v>
      </c>
      <c r="AA37" s="6">
        <v>241</v>
      </c>
      <c r="AB37" s="64">
        <v>300</v>
      </c>
      <c r="AC37" s="6">
        <v>10</v>
      </c>
      <c r="AD37" s="6">
        <v>10</v>
      </c>
      <c r="AE37" s="6">
        <v>17</v>
      </c>
      <c r="AF37" s="6">
        <f t="shared" si="6"/>
        <v>7</v>
      </c>
      <c r="AG37" s="6">
        <v>2</v>
      </c>
      <c r="AH37" s="68">
        <v>3</v>
      </c>
      <c r="AI37" s="6">
        <v>40</v>
      </c>
      <c r="AJ37" s="64">
        <v>30</v>
      </c>
      <c r="AK37" s="77">
        <v>15</v>
      </c>
      <c r="AL37" s="64">
        <v>17.5</v>
      </c>
      <c r="AM37" s="64" t="s">
        <v>137</v>
      </c>
      <c r="AN37" s="64" t="s">
        <v>138</v>
      </c>
      <c r="AO37" s="65" t="s">
        <v>174</v>
      </c>
      <c r="AQ37" s="61"/>
      <c r="AR37" s="61"/>
    </row>
    <row r="38" spans="22:62" ht="78.75">
      <c r="V38" s="63" t="s">
        <v>127</v>
      </c>
      <c r="W38" s="64" t="s">
        <v>135</v>
      </c>
      <c r="X38" s="64">
        <v>60</v>
      </c>
      <c r="Y38" s="64">
        <v>192</v>
      </c>
      <c r="Z38" s="6">
        <v>8</v>
      </c>
      <c r="AA38" s="6">
        <v>241</v>
      </c>
      <c r="AB38" s="64">
        <v>300</v>
      </c>
      <c r="AC38" s="6">
        <v>11</v>
      </c>
      <c r="AD38" s="6">
        <v>11</v>
      </c>
      <c r="AE38" s="6">
        <v>17</v>
      </c>
      <c r="AF38" s="6">
        <f t="shared" si="6"/>
        <v>6</v>
      </c>
      <c r="AG38" s="6">
        <v>2</v>
      </c>
      <c r="AH38" s="68">
        <v>3</v>
      </c>
      <c r="AI38" s="6">
        <v>40</v>
      </c>
      <c r="AJ38" s="64">
        <v>30</v>
      </c>
      <c r="AK38" s="77">
        <v>15</v>
      </c>
      <c r="AL38" s="64">
        <v>17.5</v>
      </c>
      <c r="AM38" s="64" t="s">
        <v>137</v>
      </c>
      <c r="AN38" s="64" t="s">
        <v>138</v>
      </c>
      <c r="AO38" s="65" t="s">
        <v>174</v>
      </c>
    </row>
    <row r="39" spans="22:62" ht="78.75">
      <c r="V39" s="63" t="s">
        <v>127</v>
      </c>
      <c r="W39" s="64" t="s">
        <v>135</v>
      </c>
      <c r="X39" s="64">
        <v>60</v>
      </c>
      <c r="Y39" s="64">
        <v>192</v>
      </c>
      <c r="Z39" s="6">
        <v>7</v>
      </c>
      <c r="AA39" s="6">
        <v>241</v>
      </c>
      <c r="AB39" s="64">
        <v>300</v>
      </c>
      <c r="AC39" s="6">
        <v>12</v>
      </c>
      <c r="AD39" s="6">
        <v>12</v>
      </c>
      <c r="AE39" s="6">
        <v>17</v>
      </c>
      <c r="AF39" s="6">
        <f t="shared" si="6"/>
        <v>5</v>
      </c>
      <c r="AG39" s="6">
        <v>2</v>
      </c>
      <c r="AH39" s="68">
        <v>3</v>
      </c>
      <c r="AI39" s="6">
        <v>40</v>
      </c>
      <c r="AJ39" s="64">
        <v>30</v>
      </c>
      <c r="AK39" s="77">
        <v>15</v>
      </c>
      <c r="AL39" s="64">
        <v>17.5</v>
      </c>
      <c r="AM39" s="64" t="s">
        <v>137</v>
      </c>
      <c r="AN39" s="64" t="s">
        <v>138</v>
      </c>
      <c r="AO39" s="65" t="s">
        <v>174</v>
      </c>
    </row>
    <row r="40" spans="22:62" ht="79.5" thickBot="1">
      <c r="V40" s="79" t="s">
        <v>127</v>
      </c>
      <c r="W40" s="69" t="s">
        <v>135</v>
      </c>
      <c r="X40" s="69">
        <v>60</v>
      </c>
      <c r="Y40" s="69">
        <v>192</v>
      </c>
      <c r="Z40" s="70">
        <v>6</v>
      </c>
      <c r="AA40" s="70">
        <v>241</v>
      </c>
      <c r="AB40" s="69">
        <v>300</v>
      </c>
      <c r="AC40" s="6">
        <v>13</v>
      </c>
      <c r="AD40" s="6">
        <v>13</v>
      </c>
      <c r="AE40" s="70">
        <v>17</v>
      </c>
      <c r="AF40" s="70">
        <f t="shared" si="6"/>
        <v>4</v>
      </c>
      <c r="AG40" s="70">
        <v>2</v>
      </c>
      <c r="AH40" s="72">
        <v>3</v>
      </c>
      <c r="AI40" s="70">
        <v>40</v>
      </c>
      <c r="AJ40" s="69">
        <v>30</v>
      </c>
      <c r="AK40" s="82">
        <v>15</v>
      </c>
      <c r="AL40" s="69">
        <v>17.5</v>
      </c>
      <c r="AM40" s="69" t="s">
        <v>137</v>
      </c>
      <c r="AN40" s="69" t="s">
        <v>138</v>
      </c>
      <c r="AO40" s="140" t="s">
        <v>174</v>
      </c>
    </row>
    <row r="42" spans="22:62">
      <c r="BC42" s="60"/>
      <c r="BD42" s="60"/>
    </row>
  </sheetData>
  <mergeCells count="7">
    <mergeCell ref="V29:AO29"/>
    <mergeCell ref="V2:AN2"/>
    <mergeCell ref="A15:T15"/>
    <mergeCell ref="AQ2:BJ2"/>
    <mergeCell ref="AQ20:BJ20"/>
    <mergeCell ref="V15:AO15"/>
    <mergeCell ref="A2:T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workbookViewId="0">
      <selection activeCell="A7" sqref="A7"/>
    </sheetView>
  </sheetViews>
  <sheetFormatPr defaultRowHeight="15.75"/>
  <cols>
    <col min="1" max="1" width="11.625" bestFit="1" customWidth="1"/>
    <col min="2" max="2" width="10.5" bestFit="1" customWidth="1"/>
    <col min="3" max="3" width="22.875" bestFit="1" customWidth="1"/>
    <col min="5" max="5" width="14.75" bestFit="1" customWidth="1"/>
  </cols>
  <sheetData>
    <row r="1" spans="1:6">
      <c r="A1" t="s">
        <v>242</v>
      </c>
      <c r="B1" t="s">
        <v>247</v>
      </c>
      <c r="C1" t="s">
        <v>249</v>
      </c>
      <c r="D1" t="s">
        <v>5</v>
      </c>
      <c r="E1" t="s">
        <v>257</v>
      </c>
      <c r="F1" t="s">
        <v>58</v>
      </c>
    </row>
    <row r="2" spans="1:6">
      <c r="A2" t="s">
        <v>243</v>
      </c>
      <c r="B2" t="s">
        <v>248</v>
      </c>
      <c r="C2" t="s">
        <v>250</v>
      </c>
      <c r="D2" t="s">
        <v>251</v>
      </c>
      <c r="E2" t="s">
        <v>255</v>
      </c>
      <c r="F2" t="s">
        <v>258</v>
      </c>
    </row>
    <row r="3" spans="1:6">
      <c r="A3" t="s">
        <v>244</v>
      </c>
      <c r="D3" t="s">
        <v>252</v>
      </c>
      <c r="E3" t="s">
        <v>256</v>
      </c>
    </row>
    <row r="4" spans="1:6">
      <c r="A4" t="s">
        <v>245</v>
      </c>
      <c r="D4" t="s">
        <v>253</v>
      </c>
    </row>
    <row r="5" spans="1:6">
      <c r="A5" t="s">
        <v>214</v>
      </c>
    </row>
    <row r="6" spans="1:6">
      <c r="A6" t="s">
        <v>223</v>
      </c>
    </row>
    <row r="7" spans="1:6">
      <c r="A7" t="s">
        <v>246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V46"/>
  <sheetViews>
    <sheetView zoomScale="63" zoomScaleNormal="63" zoomScalePageLayoutView="63" workbookViewId="0">
      <selection activeCell="J3" sqref="J3"/>
    </sheetView>
  </sheetViews>
  <sheetFormatPr defaultColWidth="13.625" defaultRowHeight="15.75"/>
  <cols>
    <col min="1" max="1" width="9.5" style="61" customWidth="1"/>
    <col min="2" max="10" width="10.5" style="61" customWidth="1"/>
    <col min="11" max="11" width="12" style="61" customWidth="1"/>
    <col min="12" max="15" width="10.5" style="61" customWidth="1"/>
    <col min="16" max="16" width="7.625" style="61" bestFit="1" customWidth="1"/>
    <col min="17" max="17" width="10.875" style="61" bestFit="1" customWidth="1"/>
    <col min="18" max="18" width="7.625" style="61" bestFit="1" customWidth="1"/>
    <col min="19" max="21" width="11.375" style="61" customWidth="1"/>
    <col min="22" max="22" width="17.875" style="61" customWidth="1"/>
    <col min="23" max="24" width="11.375" style="61" customWidth="1"/>
    <col min="25" max="26" width="10.375" style="61" customWidth="1"/>
    <col min="27" max="27" width="12.125" style="62" customWidth="1"/>
    <col min="28" max="28" width="14.125" style="62" customWidth="1"/>
    <col min="29" max="29" width="11.375" style="61" customWidth="1"/>
    <col min="30" max="31" width="13.625" style="61"/>
    <col min="32" max="32" width="11.625" style="61" bestFit="1" customWidth="1"/>
    <col min="33" max="33" width="12.125" style="61" bestFit="1" customWidth="1"/>
    <col min="34" max="34" width="10.375" style="61" bestFit="1" customWidth="1"/>
    <col min="35" max="35" width="10.625" style="61" customWidth="1"/>
    <col min="36" max="36" width="9" style="61" customWidth="1"/>
    <col min="37" max="38" width="8.625" style="61" customWidth="1"/>
    <col min="39" max="39" width="13.625" style="61"/>
    <col min="40" max="45" width="13.625" style="62"/>
    <col min="46" max="46" width="18.625" style="62" customWidth="1"/>
    <col min="47" max="48" width="13.625" style="62"/>
    <col min="49" max="49" width="9.875" style="62" customWidth="1"/>
    <col min="50" max="50" width="11.375" style="62" customWidth="1"/>
    <col min="51" max="51" width="11.375" style="61" customWidth="1"/>
    <col min="52" max="52" width="11.125" style="61" customWidth="1"/>
    <col min="53" max="53" width="9.375" style="61" customWidth="1"/>
    <col min="54" max="55" width="13.625" style="61"/>
    <col min="56" max="56" width="10" style="61" customWidth="1"/>
    <col min="57" max="57" width="8.375" style="61" customWidth="1"/>
    <col min="58" max="58" width="9.375" style="61" customWidth="1"/>
    <col min="59" max="59" width="10.375" style="61" bestFit="1" customWidth="1"/>
    <col min="60" max="60" width="11.375" style="61" bestFit="1" customWidth="1"/>
    <col min="61" max="61" width="11.375" style="61" customWidth="1"/>
    <col min="62" max="62" width="8.875" style="61" bestFit="1" customWidth="1"/>
    <col min="63" max="63" width="13.125" style="61" bestFit="1" customWidth="1"/>
    <col min="64" max="64" width="13.375" style="61" bestFit="1" customWidth="1"/>
    <col min="65" max="65" width="13.125" style="61" bestFit="1" customWidth="1"/>
    <col min="66" max="66" width="7.625" style="61" bestFit="1" customWidth="1"/>
    <col min="67" max="67" width="11" style="61" customWidth="1"/>
    <col min="68" max="68" width="9.875" style="61" customWidth="1"/>
    <col min="69" max="69" width="16.875" style="61" customWidth="1"/>
    <col min="70" max="70" width="10.625" style="61" customWidth="1"/>
    <col min="71" max="74" width="13.625" style="61"/>
    <col min="75" max="75" width="8.125" style="61" customWidth="1"/>
    <col min="76" max="16384" width="13.625" style="61"/>
  </cols>
  <sheetData>
    <row r="1" spans="1:69" s="156" customFormat="1" ht="16.5" thickBot="1">
      <c r="A1" s="154"/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5"/>
      <c r="R1" s="155"/>
      <c r="S1" s="155"/>
      <c r="AA1" s="157"/>
      <c r="AB1" s="157"/>
      <c r="AN1" s="157"/>
      <c r="AO1" s="157"/>
      <c r="AP1" s="157"/>
      <c r="AQ1" s="157"/>
      <c r="AR1" s="157"/>
      <c r="AS1" s="157"/>
      <c r="AT1" s="157"/>
      <c r="AU1" s="157"/>
      <c r="AV1" s="157"/>
      <c r="AW1" s="157"/>
      <c r="AX1" s="157"/>
    </row>
    <row r="2" spans="1:69" ht="26.1" customHeight="1">
      <c r="A2" s="298" t="s">
        <v>177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303"/>
      <c r="W2" s="62"/>
      <c r="X2" s="62"/>
      <c r="Y2" s="298" t="s">
        <v>182</v>
      </c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303"/>
      <c r="AU2" s="149"/>
      <c r="AW2" s="300" t="s">
        <v>181</v>
      </c>
      <c r="AX2" s="301"/>
      <c r="AY2" s="301"/>
      <c r="AZ2" s="301"/>
      <c r="BA2" s="301"/>
      <c r="BB2" s="301"/>
      <c r="BC2" s="301"/>
      <c r="BD2" s="301"/>
      <c r="BE2" s="301"/>
      <c r="BF2" s="301"/>
      <c r="BG2" s="301"/>
      <c r="BH2" s="301"/>
      <c r="BI2" s="301"/>
      <c r="BJ2" s="301"/>
      <c r="BK2" s="301"/>
      <c r="BL2" s="301"/>
      <c r="BM2" s="301"/>
      <c r="BN2" s="301"/>
      <c r="BO2" s="301"/>
      <c r="BP2" s="301"/>
      <c r="BQ2" s="302"/>
    </row>
    <row r="3" spans="1:69" ht="110.25">
      <c r="A3" s="63" t="s">
        <v>99</v>
      </c>
      <c r="B3" s="64" t="s">
        <v>100</v>
      </c>
      <c r="C3" s="64" t="s">
        <v>200</v>
      </c>
      <c r="D3" s="64" t="s">
        <v>201</v>
      </c>
      <c r="E3" s="37" t="s">
        <v>101</v>
      </c>
      <c r="F3" s="37" t="s">
        <v>204</v>
      </c>
      <c r="G3" s="37" t="s">
        <v>205</v>
      </c>
      <c r="H3" s="37" t="s">
        <v>208</v>
      </c>
      <c r="I3" s="37" t="s">
        <v>209</v>
      </c>
      <c r="J3" s="37" t="s">
        <v>106</v>
      </c>
      <c r="K3" s="37" t="s">
        <v>179</v>
      </c>
      <c r="L3" s="37" t="s">
        <v>108</v>
      </c>
      <c r="M3" s="37" t="s">
        <v>109</v>
      </c>
      <c r="N3" s="37" t="s">
        <v>110</v>
      </c>
      <c r="O3" s="64" t="s">
        <v>111</v>
      </c>
      <c r="P3" s="64" t="s">
        <v>112</v>
      </c>
      <c r="Q3" s="64" t="s">
        <v>113</v>
      </c>
      <c r="R3" s="64" t="s">
        <v>114</v>
      </c>
      <c r="S3" s="75" t="s">
        <v>131</v>
      </c>
      <c r="T3" s="75" t="s">
        <v>132</v>
      </c>
      <c r="U3" s="75" t="s">
        <v>133</v>
      </c>
      <c r="V3" s="139" t="s">
        <v>173</v>
      </c>
      <c r="W3" s="66"/>
      <c r="X3" s="66"/>
      <c r="Y3" s="63" t="s">
        <v>115</v>
      </c>
      <c r="Z3" s="64" t="s">
        <v>100</v>
      </c>
      <c r="AA3" s="37" t="s">
        <v>204</v>
      </c>
      <c r="AB3" s="37" t="s">
        <v>205</v>
      </c>
      <c r="AC3" s="37" t="s">
        <v>101</v>
      </c>
      <c r="AD3" s="37" t="s">
        <v>204</v>
      </c>
      <c r="AE3" s="37" t="s">
        <v>205</v>
      </c>
      <c r="AF3" s="37" t="s">
        <v>208</v>
      </c>
      <c r="AG3" s="37" t="s">
        <v>209</v>
      </c>
      <c r="AH3" s="37" t="s">
        <v>106</v>
      </c>
      <c r="AI3" s="37" t="s">
        <v>179</v>
      </c>
      <c r="AJ3" s="37" t="s">
        <v>110</v>
      </c>
      <c r="AK3" s="37" t="s">
        <v>108</v>
      </c>
      <c r="AL3" s="37" t="s">
        <v>116</v>
      </c>
      <c r="AM3" s="64" t="s">
        <v>111</v>
      </c>
      <c r="AN3" s="64" t="s">
        <v>112</v>
      </c>
      <c r="AO3" s="64" t="s">
        <v>113</v>
      </c>
      <c r="AP3" s="64" t="s">
        <v>114</v>
      </c>
      <c r="AQ3" s="75" t="s">
        <v>131</v>
      </c>
      <c r="AR3" s="75" t="s">
        <v>132</v>
      </c>
      <c r="AS3" s="75" t="s">
        <v>133</v>
      </c>
      <c r="AT3" s="139" t="s">
        <v>173</v>
      </c>
      <c r="AU3" s="60"/>
      <c r="AV3" s="61"/>
      <c r="AW3" s="63" t="s">
        <v>115</v>
      </c>
      <c r="AX3" s="64" t="s">
        <v>100</v>
      </c>
      <c r="AY3" s="64" t="s">
        <v>200</v>
      </c>
      <c r="AZ3" s="64" t="s">
        <v>201</v>
      </c>
      <c r="BA3" s="37" t="s">
        <v>101</v>
      </c>
      <c r="BB3" s="37" t="s">
        <v>204</v>
      </c>
      <c r="BC3" s="37" t="s">
        <v>205</v>
      </c>
      <c r="BD3" s="37" t="s">
        <v>208</v>
      </c>
      <c r="BE3" s="37" t="s">
        <v>209</v>
      </c>
      <c r="BF3" s="37" t="s">
        <v>106</v>
      </c>
      <c r="BG3" s="37" t="s">
        <v>179</v>
      </c>
      <c r="BH3" s="37" t="s">
        <v>108</v>
      </c>
      <c r="BI3" s="37" t="s">
        <v>117</v>
      </c>
      <c r="BJ3" s="37" t="s">
        <v>110</v>
      </c>
      <c r="BK3" s="64" t="s">
        <v>111</v>
      </c>
      <c r="BL3" s="64" t="s">
        <v>112</v>
      </c>
      <c r="BM3" s="64" t="s">
        <v>113</v>
      </c>
      <c r="BN3" s="64" t="s">
        <v>114</v>
      </c>
      <c r="BO3" s="75" t="s">
        <v>132</v>
      </c>
      <c r="BP3" s="75" t="s">
        <v>133</v>
      </c>
      <c r="BQ3" s="139" t="s">
        <v>173</v>
      </c>
    </row>
    <row r="4" spans="1:69" ht="78.75">
      <c r="A4" s="63" t="s">
        <v>118</v>
      </c>
      <c r="B4" s="64" t="s">
        <v>119</v>
      </c>
      <c r="C4" s="64">
        <v>60</v>
      </c>
      <c r="D4" s="64">
        <v>120</v>
      </c>
      <c r="E4" s="6">
        <v>10</v>
      </c>
      <c r="F4" s="6">
        <v>40</v>
      </c>
      <c r="G4" s="6">
        <v>96</v>
      </c>
      <c r="H4" s="6">
        <v>4</v>
      </c>
      <c r="I4" s="6">
        <v>4</v>
      </c>
      <c r="J4" s="6">
        <v>7</v>
      </c>
      <c r="K4" s="6">
        <f t="shared" ref="K4:K10" si="0">J4-I4</f>
        <v>3</v>
      </c>
      <c r="L4" s="6">
        <v>25</v>
      </c>
      <c r="M4" s="6">
        <v>1.5</v>
      </c>
      <c r="N4" s="6">
        <v>1</v>
      </c>
      <c r="O4" s="64">
        <v>25</v>
      </c>
      <c r="P4" s="64">
        <v>12</v>
      </c>
      <c r="Q4" s="64">
        <v>20</v>
      </c>
      <c r="R4" s="64">
        <v>10</v>
      </c>
      <c r="S4" s="64">
        <v>35</v>
      </c>
      <c r="T4" s="64" t="s">
        <v>137</v>
      </c>
      <c r="U4" s="64" t="s">
        <v>138</v>
      </c>
      <c r="V4" s="65" t="s">
        <v>174</v>
      </c>
      <c r="W4" s="67"/>
      <c r="X4" s="67"/>
      <c r="Y4" s="63" t="s">
        <v>120</v>
      </c>
      <c r="Z4" s="64" t="s">
        <v>119</v>
      </c>
      <c r="AA4" s="64">
        <v>60</v>
      </c>
      <c r="AB4" s="64">
        <v>192</v>
      </c>
      <c r="AC4" s="6">
        <v>15</v>
      </c>
      <c r="AD4" s="6">
        <v>60</v>
      </c>
      <c r="AE4" s="64">
        <v>120</v>
      </c>
      <c r="AF4" s="6">
        <v>4</v>
      </c>
      <c r="AG4" s="6">
        <v>4</v>
      </c>
      <c r="AH4" s="6">
        <v>13</v>
      </c>
      <c r="AI4" s="6">
        <f>AH4-AG4</f>
        <v>9</v>
      </c>
      <c r="AJ4" s="68">
        <v>1</v>
      </c>
      <c r="AK4" s="6">
        <v>25</v>
      </c>
      <c r="AL4" s="6">
        <v>1.5</v>
      </c>
      <c r="AM4" s="64">
        <v>25</v>
      </c>
      <c r="AN4" s="64">
        <v>12</v>
      </c>
      <c r="AO4" s="64">
        <v>20</v>
      </c>
      <c r="AP4" s="64">
        <v>10</v>
      </c>
      <c r="AQ4" s="64">
        <v>17.5</v>
      </c>
      <c r="AR4" s="64" t="s">
        <v>137</v>
      </c>
      <c r="AS4" s="64" t="s">
        <v>138</v>
      </c>
      <c r="AT4" s="65" t="s">
        <v>174</v>
      </c>
      <c r="AU4" s="60"/>
      <c r="AV4" s="61"/>
      <c r="AW4" s="63" t="s">
        <v>121</v>
      </c>
      <c r="AX4" s="64" t="s">
        <v>122</v>
      </c>
      <c r="AY4" s="64">
        <v>96</v>
      </c>
      <c r="AZ4" s="64">
        <v>228</v>
      </c>
      <c r="BA4" s="6">
        <v>25</v>
      </c>
      <c r="BB4" s="6">
        <v>120</v>
      </c>
      <c r="BC4" s="6">
        <v>180</v>
      </c>
      <c r="BD4" s="6">
        <v>25</v>
      </c>
      <c r="BE4" s="6">
        <v>25</v>
      </c>
      <c r="BF4" s="6">
        <v>18</v>
      </c>
      <c r="BG4" s="6">
        <f>BE4-BF4</f>
        <v>7</v>
      </c>
      <c r="BH4" s="6">
        <v>30</v>
      </c>
      <c r="BI4" s="6">
        <v>1.5</v>
      </c>
      <c r="BJ4" s="68">
        <v>1.5</v>
      </c>
      <c r="BK4" s="64">
        <v>36</v>
      </c>
      <c r="BL4" s="77">
        <v>18</v>
      </c>
      <c r="BM4" s="64">
        <v>20</v>
      </c>
      <c r="BN4" s="77">
        <v>10</v>
      </c>
      <c r="BO4" s="64" t="s">
        <v>137</v>
      </c>
      <c r="BP4" s="64" t="s">
        <v>138</v>
      </c>
      <c r="BQ4" s="65" t="s">
        <v>174</v>
      </c>
    </row>
    <row r="5" spans="1:69" ht="78.75">
      <c r="A5" s="63" t="s">
        <v>118</v>
      </c>
      <c r="B5" s="64" t="s">
        <v>119</v>
      </c>
      <c r="C5" s="64">
        <v>60</v>
      </c>
      <c r="D5" s="64">
        <v>120</v>
      </c>
      <c r="E5" s="6">
        <v>9</v>
      </c>
      <c r="F5" s="6">
        <v>40</v>
      </c>
      <c r="G5" s="6">
        <v>96</v>
      </c>
      <c r="H5" s="6">
        <v>5</v>
      </c>
      <c r="I5" s="6">
        <v>5</v>
      </c>
      <c r="J5" s="6">
        <v>7</v>
      </c>
      <c r="K5" s="6">
        <f t="shared" si="0"/>
        <v>2</v>
      </c>
      <c r="L5" s="6">
        <v>25</v>
      </c>
      <c r="M5" s="6">
        <v>1.5</v>
      </c>
      <c r="N5" s="6">
        <v>1</v>
      </c>
      <c r="O5" s="64">
        <v>25</v>
      </c>
      <c r="P5" s="64">
        <v>12</v>
      </c>
      <c r="Q5" s="64">
        <v>20</v>
      </c>
      <c r="R5" s="64">
        <v>10</v>
      </c>
      <c r="S5" s="64">
        <v>35</v>
      </c>
      <c r="T5" s="64" t="s">
        <v>137</v>
      </c>
      <c r="U5" s="64" t="s">
        <v>138</v>
      </c>
      <c r="V5" s="65" t="s">
        <v>174</v>
      </c>
      <c r="W5" s="67"/>
      <c r="X5" s="67"/>
      <c r="Y5" s="63" t="s">
        <v>120</v>
      </c>
      <c r="Z5" s="64" t="s">
        <v>119</v>
      </c>
      <c r="AA5" s="64">
        <v>60</v>
      </c>
      <c r="AB5" s="64">
        <v>192</v>
      </c>
      <c r="AC5" s="6">
        <v>14</v>
      </c>
      <c r="AD5" s="6">
        <v>121</v>
      </c>
      <c r="AE5" s="64">
        <v>180</v>
      </c>
      <c r="AF5" s="6">
        <v>5</v>
      </c>
      <c r="AG5" s="6">
        <v>5</v>
      </c>
      <c r="AH5" s="6">
        <v>13</v>
      </c>
      <c r="AI5" s="6">
        <f t="shared" ref="AI5:AI13" si="1">AH5-AG5</f>
        <v>8</v>
      </c>
      <c r="AJ5" s="68">
        <v>1.5</v>
      </c>
      <c r="AK5" s="6">
        <v>30</v>
      </c>
      <c r="AL5" s="6">
        <v>1.5</v>
      </c>
      <c r="AM5" s="64">
        <v>30</v>
      </c>
      <c r="AN5" s="77">
        <v>15</v>
      </c>
      <c r="AO5" s="64">
        <v>25</v>
      </c>
      <c r="AP5" s="77">
        <v>12</v>
      </c>
      <c r="AQ5" s="64">
        <v>17.5</v>
      </c>
      <c r="AR5" s="64" t="s">
        <v>137</v>
      </c>
      <c r="AS5" s="64" t="s">
        <v>138</v>
      </c>
      <c r="AT5" s="65" t="s">
        <v>174</v>
      </c>
      <c r="AU5" s="143"/>
      <c r="AW5" s="63" t="s">
        <v>121</v>
      </c>
      <c r="AX5" s="64" t="s">
        <v>122</v>
      </c>
      <c r="AY5" s="64">
        <v>96</v>
      </c>
      <c r="AZ5" s="64">
        <v>228</v>
      </c>
      <c r="BA5" s="6">
        <v>24</v>
      </c>
      <c r="BB5" s="6">
        <v>180</v>
      </c>
      <c r="BC5" s="6">
        <v>240</v>
      </c>
      <c r="BD5" s="6">
        <v>24</v>
      </c>
      <c r="BE5" s="6">
        <v>24</v>
      </c>
      <c r="BF5" s="6">
        <v>18</v>
      </c>
      <c r="BG5" s="6">
        <f t="shared" ref="BG5:BG19" si="2">BE5-BF5</f>
        <v>6</v>
      </c>
      <c r="BH5" s="6">
        <v>35</v>
      </c>
      <c r="BI5" s="6">
        <v>1.5</v>
      </c>
      <c r="BJ5" s="68">
        <v>1.5</v>
      </c>
      <c r="BK5" s="64">
        <v>40</v>
      </c>
      <c r="BL5" s="77">
        <v>20</v>
      </c>
      <c r="BM5" s="64">
        <v>25</v>
      </c>
      <c r="BN5" s="77">
        <v>12</v>
      </c>
      <c r="BO5" s="64" t="s">
        <v>137</v>
      </c>
      <c r="BP5" s="64" t="s">
        <v>138</v>
      </c>
      <c r="BQ5" s="65" t="s">
        <v>174</v>
      </c>
    </row>
    <row r="6" spans="1:69" ht="78.75">
      <c r="A6" s="63" t="s">
        <v>118</v>
      </c>
      <c r="B6" s="64" t="s">
        <v>119</v>
      </c>
      <c r="C6" s="64">
        <v>60</v>
      </c>
      <c r="D6" s="64">
        <v>120</v>
      </c>
      <c r="E6" s="6">
        <v>8</v>
      </c>
      <c r="F6" s="6">
        <v>40</v>
      </c>
      <c r="G6" s="6">
        <v>96</v>
      </c>
      <c r="H6" s="6">
        <v>6</v>
      </c>
      <c r="I6" s="6">
        <v>6</v>
      </c>
      <c r="J6" s="6">
        <v>7</v>
      </c>
      <c r="K6" s="6">
        <f t="shared" si="0"/>
        <v>1</v>
      </c>
      <c r="L6" s="6">
        <v>25</v>
      </c>
      <c r="M6" s="6">
        <v>1.5</v>
      </c>
      <c r="N6" s="6">
        <v>1</v>
      </c>
      <c r="O6" s="64">
        <v>25</v>
      </c>
      <c r="P6" s="64">
        <v>12</v>
      </c>
      <c r="Q6" s="64">
        <v>20</v>
      </c>
      <c r="R6" s="64">
        <v>10</v>
      </c>
      <c r="S6" s="64">
        <v>35</v>
      </c>
      <c r="T6" s="64" t="s">
        <v>137</v>
      </c>
      <c r="U6" s="64" t="s">
        <v>138</v>
      </c>
      <c r="V6" s="65" t="s">
        <v>174</v>
      </c>
      <c r="W6" s="67"/>
      <c r="X6" s="67"/>
      <c r="Y6" s="63" t="s">
        <v>120</v>
      </c>
      <c r="Z6" s="64" t="s">
        <v>119</v>
      </c>
      <c r="AA6" s="64">
        <v>60</v>
      </c>
      <c r="AB6" s="64">
        <v>192</v>
      </c>
      <c r="AC6" s="6">
        <v>13</v>
      </c>
      <c r="AD6" s="6">
        <v>181</v>
      </c>
      <c r="AE6" s="64">
        <v>240</v>
      </c>
      <c r="AF6" s="6">
        <v>6</v>
      </c>
      <c r="AG6" s="6">
        <v>6</v>
      </c>
      <c r="AH6" s="6">
        <v>13</v>
      </c>
      <c r="AI6" s="6">
        <f t="shared" si="1"/>
        <v>7</v>
      </c>
      <c r="AJ6" s="68">
        <v>1.5</v>
      </c>
      <c r="AK6" s="6">
        <v>40</v>
      </c>
      <c r="AL6" s="6">
        <v>2</v>
      </c>
      <c r="AM6" s="64">
        <v>40</v>
      </c>
      <c r="AN6" s="77">
        <v>20</v>
      </c>
      <c r="AO6" s="64">
        <v>30</v>
      </c>
      <c r="AP6" s="77">
        <v>15</v>
      </c>
      <c r="AQ6" s="64">
        <v>17.5</v>
      </c>
      <c r="AR6" s="64" t="s">
        <v>137</v>
      </c>
      <c r="AS6" s="64" t="s">
        <v>138</v>
      </c>
      <c r="AT6" s="65" t="s">
        <v>174</v>
      </c>
      <c r="AU6" s="143"/>
      <c r="AW6" s="63" t="s">
        <v>121</v>
      </c>
      <c r="AX6" s="64" t="s">
        <v>122</v>
      </c>
      <c r="AY6" s="64">
        <v>96</v>
      </c>
      <c r="AZ6" s="64">
        <v>228</v>
      </c>
      <c r="BA6" s="6">
        <v>23</v>
      </c>
      <c r="BB6" s="6">
        <v>241</v>
      </c>
      <c r="BC6" s="6">
        <v>300</v>
      </c>
      <c r="BD6" s="6">
        <v>23</v>
      </c>
      <c r="BE6" s="6">
        <v>23</v>
      </c>
      <c r="BF6" s="6">
        <v>18</v>
      </c>
      <c r="BG6" s="6">
        <f t="shared" si="2"/>
        <v>5</v>
      </c>
      <c r="BH6" s="6">
        <v>40</v>
      </c>
      <c r="BI6" s="6">
        <v>2</v>
      </c>
      <c r="BJ6" s="68">
        <v>2</v>
      </c>
      <c r="BK6" s="64">
        <v>45</v>
      </c>
      <c r="BL6" s="77">
        <v>22</v>
      </c>
      <c r="BM6" s="64">
        <v>25</v>
      </c>
      <c r="BN6" s="77">
        <v>12</v>
      </c>
      <c r="BO6" s="64" t="s">
        <v>137</v>
      </c>
      <c r="BP6" s="64" t="s">
        <v>138</v>
      </c>
      <c r="BQ6" s="65" t="s">
        <v>174</v>
      </c>
    </row>
    <row r="7" spans="1:69" ht="78.75">
      <c r="A7" s="63" t="s">
        <v>118</v>
      </c>
      <c r="B7" s="64" t="s">
        <v>119</v>
      </c>
      <c r="C7" s="64">
        <v>60</v>
      </c>
      <c r="D7" s="64">
        <v>120</v>
      </c>
      <c r="E7" s="6">
        <v>7</v>
      </c>
      <c r="F7" s="6">
        <v>40</v>
      </c>
      <c r="G7" s="6">
        <v>96</v>
      </c>
      <c r="H7" s="6">
        <v>7</v>
      </c>
      <c r="I7" s="6">
        <v>7</v>
      </c>
      <c r="J7" s="6">
        <v>7</v>
      </c>
      <c r="K7" s="71">
        <f t="shared" si="0"/>
        <v>0</v>
      </c>
      <c r="L7" s="6">
        <v>25</v>
      </c>
      <c r="M7" s="6">
        <v>1.5</v>
      </c>
      <c r="N7" s="6">
        <v>1</v>
      </c>
      <c r="O7" s="64">
        <v>25</v>
      </c>
      <c r="P7" s="64">
        <v>12</v>
      </c>
      <c r="Q7" s="64">
        <v>20</v>
      </c>
      <c r="R7" s="64">
        <v>10</v>
      </c>
      <c r="S7" s="64">
        <v>35</v>
      </c>
      <c r="T7" s="64" t="s">
        <v>137</v>
      </c>
      <c r="U7" s="64" t="s">
        <v>138</v>
      </c>
      <c r="V7" s="65" t="s">
        <v>174</v>
      </c>
      <c r="W7" s="67"/>
      <c r="X7" s="67"/>
      <c r="Y7" s="63" t="s">
        <v>120</v>
      </c>
      <c r="Z7" s="64" t="s">
        <v>119</v>
      </c>
      <c r="AA7" s="64">
        <v>60</v>
      </c>
      <c r="AB7" s="64">
        <v>192</v>
      </c>
      <c r="AC7" s="6">
        <v>12</v>
      </c>
      <c r="AD7" s="6">
        <v>241</v>
      </c>
      <c r="AE7" s="64">
        <v>300</v>
      </c>
      <c r="AF7" s="6">
        <v>7</v>
      </c>
      <c r="AG7" s="6">
        <v>7</v>
      </c>
      <c r="AH7" s="6">
        <v>13</v>
      </c>
      <c r="AI7" s="6">
        <f t="shared" si="1"/>
        <v>6</v>
      </c>
      <c r="AJ7" s="68">
        <v>1.5</v>
      </c>
      <c r="AK7" s="6">
        <v>40</v>
      </c>
      <c r="AL7" s="6">
        <v>2</v>
      </c>
      <c r="AM7" s="64">
        <v>40</v>
      </c>
      <c r="AN7" s="77">
        <v>20</v>
      </c>
      <c r="AO7" s="64">
        <v>30</v>
      </c>
      <c r="AP7" s="77">
        <v>15</v>
      </c>
      <c r="AQ7" s="64">
        <v>17.5</v>
      </c>
      <c r="AR7" s="64" t="s">
        <v>137</v>
      </c>
      <c r="AS7" s="64" t="s">
        <v>138</v>
      </c>
      <c r="AT7" s="65" t="s">
        <v>174</v>
      </c>
      <c r="AU7" s="143"/>
      <c r="AW7" s="63" t="s">
        <v>121</v>
      </c>
      <c r="AX7" s="64" t="s">
        <v>122</v>
      </c>
      <c r="AY7" s="64">
        <v>96</v>
      </c>
      <c r="AZ7" s="64">
        <v>228</v>
      </c>
      <c r="BA7" s="6">
        <v>22</v>
      </c>
      <c r="BB7" s="6">
        <v>241</v>
      </c>
      <c r="BC7" s="6">
        <v>300</v>
      </c>
      <c r="BD7" s="6">
        <v>22</v>
      </c>
      <c r="BE7" s="6">
        <v>22</v>
      </c>
      <c r="BF7" s="6">
        <v>18</v>
      </c>
      <c r="BG7" s="6">
        <f t="shared" si="2"/>
        <v>4</v>
      </c>
      <c r="BH7" s="6">
        <v>40</v>
      </c>
      <c r="BI7" s="6">
        <v>2</v>
      </c>
      <c r="BJ7" s="68">
        <v>2</v>
      </c>
      <c r="BK7" s="64">
        <v>45</v>
      </c>
      <c r="BL7" s="77">
        <v>22</v>
      </c>
      <c r="BM7" s="64">
        <v>25</v>
      </c>
      <c r="BN7" s="77">
        <v>12</v>
      </c>
      <c r="BO7" s="64" t="s">
        <v>137</v>
      </c>
      <c r="BP7" s="64" t="s">
        <v>138</v>
      </c>
      <c r="BQ7" s="65" t="s">
        <v>174</v>
      </c>
    </row>
    <row r="8" spans="1:69" ht="78.75">
      <c r="A8" s="63" t="s">
        <v>118</v>
      </c>
      <c r="B8" s="64" t="s">
        <v>119</v>
      </c>
      <c r="C8" s="64">
        <v>60</v>
      </c>
      <c r="D8" s="64">
        <v>120</v>
      </c>
      <c r="E8" s="6">
        <v>6</v>
      </c>
      <c r="F8" s="6">
        <v>40</v>
      </c>
      <c r="G8" s="6">
        <v>96</v>
      </c>
      <c r="H8" s="6">
        <v>7</v>
      </c>
      <c r="I8" s="6">
        <v>7</v>
      </c>
      <c r="J8" s="6">
        <v>7</v>
      </c>
      <c r="K8" s="71">
        <f t="shared" si="0"/>
        <v>0</v>
      </c>
      <c r="L8" s="6">
        <v>25</v>
      </c>
      <c r="M8" s="6">
        <v>1.5</v>
      </c>
      <c r="N8" s="6">
        <v>1</v>
      </c>
      <c r="O8" s="64">
        <v>25</v>
      </c>
      <c r="P8" s="64">
        <v>12</v>
      </c>
      <c r="Q8" s="64">
        <v>20</v>
      </c>
      <c r="R8" s="64">
        <v>10</v>
      </c>
      <c r="S8" s="64">
        <v>35</v>
      </c>
      <c r="T8" s="64" t="s">
        <v>137</v>
      </c>
      <c r="U8" s="64" t="s">
        <v>138</v>
      </c>
      <c r="V8" s="65" t="s">
        <v>174</v>
      </c>
      <c r="W8" s="67"/>
      <c r="X8" s="67"/>
      <c r="Y8" s="63" t="s">
        <v>120</v>
      </c>
      <c r="Z8" s="64" t="s">
        <v>119</v>
      </c>
      <c r="AA8" s="64">
        <v>60</v>
      </c>
      <c r="AB8" s="64">
        <v>192</v>
      </c>
      <c r="AC8" s="6">
        <v>11</v>
      </c>
      <c r="AD8" s="6">
        <v>241</v>
      </c>
      <c r="AE8" s="64">
        <v>300</v>
      </c>
      <c r="AF8" s="6">
        <v>8</v>
      </c>
      <c r="AG8" s="6">
        <v>8</v>
      </c>
      <c r="AH8" s="6">
        <v>13</v>
      </c>
      <c r="AI8" s="6">
        <f t="shared" si="1"/>
        <v>5</v>
      </c>
      <c r="AJ8" s="68">
        <v>1.5</v>
      </c>
      <c r="AK8" s="6">
        <v>40</v>
      </c>
      <c r="AL8" s="6">
        <v>2</v>
      </c>
      <c r="AM8" s="64">
        <v>40</v>
      </c>
      <c r="AN8" s="77">
        <v>20</v>
      </c>
      <c r="AO8" s="64">
        <v>30</v>
      </c>
      <c r="AP8" s="77">
        <v>15</v>
      </c>
      <c r="AQ8" s="64">
        <v>17.5</v>
      </c>
      <c r="AR8" s="64" t="s">
        <v>137</v>
      </c>
      <c r="AS8" s="64" t="s">
        <v>138</v>
      </c>
      <c r="AT8" s="65" t="s">
        <v>174</v>
      </c>
      <c r="AU8" s="143"/>
      <c r="AW8" s="63" t="s">
        <v>121</v>
      </c>
      <c r="AX8" s="64" t="s">
        <v>122</v>
      </c>
      <c r="AY8" s="64">
        <v>96</v>
      </c>
      <c r="AZ8" s="64">
        <v>228</v>
      </c>
      <c r="BA8" s="6">
        <v>21</v>
      </c>
      <c r="BB8" s="6">
        <v>241</v>
      </c>
      <c r="BC8" s="6">
        <v>300</v>
      </c>
      <c r="BD8" s="6">
        <v>21</v>
      </c>
      <c r="BE8" s="6">
        <v>21</v>
      </c>
      <c r="BF8" s="6">
        <v>18</v>
      </c>
      <c r="BG8" s="6">
        <f t="shared" si="2"/>
        <v>3</v>
      </c>
      <c r="BH8" s="6">
        <v>40</v>
      </c>
      <c r="BI8" s="6">
        <v>2</v>
      </c>
      <c r="BJ8" s="68">
        <v>2</v>
      </c>
      <c r="BK8" s="64">
        <v>45</v>
      </c>
      <c r="BL8" s="77">
        <v>22</v>
      </c>
      <c r="BM8" s="64">
        <v>25</v>
      </c>
      <c r="BN8" s="77">
        <v>12</v>
      </c>
      <c r="BO8" s="64" t="s">
        <v>137</v>
      </c>
      <c r="BP8" s="64" t="s">
        <v>138</v>
      </c>
      <c r="BQ8" s="65" t="s">
        <v>174</v>
      </c>
    </row>
    <row r="9" spans="1:69" ht="78.75">
      <c r="A9" s="63" t="s">
        <v>118</v>
      </c>
      <c r="B9" s="64" t="s">
        <v>119</v>
      </c>
      <c r="C9" s="64">
        <v>60</v>
      </c>
      <c r="D9" s="64">
        <v>120</v>
      </c>
      <c r="E9" s="6">
        <v>5</v>
      </c>
      <c r="F9" s="6">
        <v>40</v>
      </c>
      <c r="G9" s="6">
        <v>96</v>
      </c>
      <c r="H9" s="6">
        <v>7</v>
      </c>
      <c r="I9" s="6">
        <v>7</v>
      </c>
      <c r="J9" s="6">
        <v>7</v>
      </c>
      <c r="K9" s="71">
        <f t="shared" si="0"/>
        <v>0</v>
      </c>
      <c r="L9" s="6">
        <v>25</v>
      </c>
      <c r="M9" s="6">
        <v>1.5</v>
      </c>
      <c r="N9" s="6">
        <v>1</v>
      </c>
      <c r="O9" s="64">
        <v>25</v>
      </c>
      <c r="P9" s="64">
        <v>12</v>
      </c>
      <c r="Q9" s="64">
        <v>20</v>
      </c>
      <c r="R9" s="64">
        <v>10</v>
      </c>
      <c r="S9" s="64">
        <v>35</v>
      </c>
      <c r="T9" s="64" t="s">
        <v>137</v>
      </c>
      <c r="U9" s="64" t="s">
        <v>138</v>
      </c>
      <c r="V9" s="65" t="s">
        <v>174</v>
      </c>
      <c r="W9" s="67"/>
      <c r="X9" s="67"/>
      <c r="Y9" s="63" t="s">
        <v>120</v>
      </c>
      <c r="Z9" s="64" t="s">
        <v>119</v>
      </c>
      <c r="AA9" s="64">
        <v>60</v>
      </c>
      <c r="AB9" s="64">
        <v>192</v>
      </c>
      <c r="AC9" s="6">
        <v>10</v>
      </c>
      <c r="AD9" s="6">
        <v>241</v>
      </c>
      <c r="AE9" s="64">
        <v>300</v>
      </c>
      <c r="AF9" s="6">
        <v>9</v>
      </c>
      <c r="AG9" s="6">
        <v>9</v>
      </c>
      <c r="AH9" s="6">
        <v>13</v>
      </c>
      <c r="AI9" s="6">
        <f t="shared" si="1"/>
        <v>4</v>
      </c>
      <c r="AJ9" s="68">
        <v>1.5</v>
      </c>
      <c r="AK9" s="6">
        <v>40</v>
      </c>
      <c r="AL9" s="6">
        <v>2</v>
      </c>
      <c r="AM9" s="64">
        <v>40</v>
      </c>
      <c r="AN9" s="77">
        <v>20</v>
      </c>
      <c r="AO9" s="64">
        <v>30</v>
      </c>
      <c r="AP9" s="77">
        <v>15</v>
      </c>
      <c r="AQ9" s="64">
        <v>17.5</v>
      </c>
      <c r="AR9" s="64" t="s">
        <v>137</v>
      </c>
      <c r="AS9" s="64" t="s">
        <v>138</v>
      </c>
      <c r="AT9" s="65" t="s">
        <v>174</v>
      </c>
      <c r="AU9" s="143"/>
      <c r="AW9" s="63" t="s">
        <v>121</v>
      </c>
      <c r="AX9" s="64" t="s">
        <v>122</v>
      </c>
      <c r="AY9" s="64">
        <v>96</v>
      </c>
      <c r="AZ9" s="64">
        <v>228</v>
      </c>
      <c r="BA9" s="6">
        <v>20</v>
      </c>
      <c r="BB9" s="6">
        <v>241</v>
      </c>
      <c r="BC9" s="6">
        <v>300</v>
      </c>
      <c r="BD9" s="6">
        <v>20</v>
      </c>
      <c r="BE9" s="6">
        <v>20</v>
      </c>
      <c r="BF9" s="6">
        <v>18</v>
      </c>
      <c r="BG9" s="6">
        <f t="shared" si="2"/>
        <v>2</v>
      </c>
      <c r="BH9" s="6">
        <v>40</v>
      </c>
      <c r="BI9" s="6">
        <v>2</v>
      </c>
      <c r="BJ9" s="68">
        <v>2</v>
      </c>
      <c r="BK9" s="64">
        <v>45</v>
      </c>
      <c r="BL9" s="77">
        <v>22</v>
      </c>
      <c r="BM9" s="64">
        <v>25</v>
      </c>
      <c r="BN9" s="77">
        <v>12</v>
      </c>
      <c r="BO9" s="64" t="s">
        <v>137</v>
      </c>
      <c r="BP9" s="64" t="s">
        <v>138</v>
      </c>
      <c r="BQ9" s="65" t="s">
        <v>174</v>
      </c>
    </row>
    <row r="10" spans="1:69" ht="79.5" thickBot="1">
      <c r="A10" s="79" t="s">
        <v>118</v>
      </c>
      <c r="B10" s="69" t="s">
        <v>119</v>
      </c>
      <c r="C10" s="69">
        <v>60</v>
      </c>
      <c r="D10" s="69">
        <v>120</v>
      </c>
      <c r="E10" s="70">
        <v>4</v>
      </c>
      <c r="F10" s="70">
        <v>40</v>
      </c>
      <c r="G10" s="70">
        <v>96</v>
      </c>
      <c r="H10" s="70">
        <v>7</v>
      </c>
      <c r="I10" s="70">
        <v>7</v>
      </c>
      <c r="J10" s="70">
        <v>7</v>
      </c>
      <c r="K10" s="80">
        <f t="shared" si="0"/>
        <v>0</v>
      </c>
      <c r="L10" s="70">
        <v>25</v>
      </c>
      <c r="M10" s="70">
        <v>1.5</v>
      </c>
      <c r="N10" s="70">
        <v>1</v>
      </c>
      <c r="O10" s="69">
        <v>25</v>
      </c>
      <c r="P10" s="69">
        <v>12</v>
      </c>
      <c r="Q10" s="69">
        <v>20</v>
      </c>
      <c r="R10" s="69">
        <v>10</v>
      </c>
      <c r="S10" s="69">
        <v>35</v>
      </c>
      <c r="T10" s="69" t="s">
        <v>137</v>
      </c>
      <c r="U10" s="69" t="s">
        <v>138</v>
      </c>
      <c r="V10" s="140" t="s">
        <v>174</v>
      </c>
      <c r="W10" s="67"/>
      <c r="X10" s="67"/>
      <c r="Y10" s="63" t="s">
        <v>120</v>
      </c>
      <c r="Z10" s="64" t="s">
        <v>119</v>
      </c>
      <c r="AA10" s="64">
        <v>60</v>
      </c>
      <c r="AB10" s="64">
        <v>192</v>
      </c>
      <c r="AC10" s="6">
        <v>9</v>
      </c>
      <c r="AD10" s="6">
        <v>241</v>
      </c>
      <c r="AE10" s="64">
        <v>300</v>
      </c>
      <c r="AF10" s="6">
        <v>10</v>
      </c>
      <c r="AG10" s="6">
        <v>10</v>
      </c>
      <c r="AH10" s="6">
        <v>13</v>
      </c>
      <c r="AI10" s="6">
        <f t="shared" si="1"/>
        <v>3</v>
      </c>
      <c r="AJ10" s="68">
        <v>1.5</v>
      </c>
      <c r="AK10" s="6">
        <v>40</v>
      </c>
      <c r="AL10" s="6">
        <v>2</v>
      </c>
      <c r="AM10" s="64">
        <v>40</v>
      </c>
      <c r="AN10" s="77">
        <v>20</v>
      </c>
      <c r="AO10" s="64">
        <v>30</v>
      </c>
      <c r="AP10" s="77">
        <v>15</v>
      </c>
      <c r="AQ10" s="64">
        <v>17.5</v>
      </c>
      <c r="AR10" s="64" t="s">
        <v>137</v>
      </c>
      <c r="AS10" s="64" t="s">
        <v>138</v>
      </c>
      <c r="AT10" s="65" t="s">
        <v>174</v>
      </c>
      <c r="AU10" s="143"/>
      <c r="AW10" s="63" t="s">
        <v>121</v>
      </c>
      <c r="AX10" s="64" t="s">
        <v>122</v>
      </c>
      <c r="AY10" s="64">
        <v>96</v>
      </c>
      <c r="AZ10" s="64">
        <v>228</v>
      </c>
      <c r="BA10" s="6">
        <v>19</v>
      </c>
      <c r="BB10" s="6">
        <v>241</v>
      </c>
      <c r="BC10" s="6">
        <v>300</v>
      </c>
      <c r="BD10" s="6">
        <v>19</v>
      </c>
      <c r="BE10" s="6">
        <v>19</v>
      </c>
      <c r="BF10" s="6">
        <v>18</v>
      </c>
      <c r="BG10" s="6">
        <f t="shared" si="2"/>
        <v>1</v>
      </c>
      <c r="BH10" s="6">
        <v>40</v>
      </c>
      <c r="BI10" s="6">
        <v>2</v>
      </c>
      <c r="BJ10" s="68">
        <v>2</v>
      </c>
      <c r="BK10" s="64">
        <v>45</v>
      </c>
      <c r="BL10" s="77">
        <v>22</v>
      </c>
      <c r="BM10" s="64">
        <v>25</v>
      </c>
      <c r="BN10" s="77">
        <v>12</v>
      </c>
      <c r="BO10" s="64" t="s">
        <v>137</v>
      </c>
      <c r="BP10" s="64" t="s">
        <v>138</v>
      </c>
      <c r="BQ10" s="65" t="s">
        <v>174</v>
      </c>
    </row>
    <row r="11" spans="1:69" ht="79.5" thickBot="1">
      <c r="Y11" s="63" t="s">
        <v>120</v>
      </c>
      <c r="Z11" s="64" t="s">
        <v>119</v>
      </c>
      <c r="AA11" s="64">
        <v>60</v>
      </c>
      <c r="AB11" s="64">
        <v>192</v>
      </c>
      <c r="AC11" s="6">
        <v>8</v>
      </c>
      <c r="AD11" s="6">
        <v>241</v>
      </c>
      <c r="AE11" s="64">
        <v>300</v>
      </c>
      <c r="AF11" s="6">
        <v>11</v>
      </c>
      <c r="AG11" s="6">
        <v>11</v>
      </c>
      <c r="AH11" s="6">
        <v>13</v>
      </c>
      <c r="AI11" s="6">
        <f t="shared" si="1"/>
        <v>2</v>
      </c>
      <c r="AJ11" s="68">
        <v>1.5</v>
      </c>
      <c r="AK11" s="6">
        <v>40</v>
      </c>
      <c r="AL11" s="6">
        <v>2</v>
      </c>
      <c r="AM11" s="64">
        <v>40</v>
      </c>
      <c r="AN11" s="77">
        <v>20</v>
      </c>
      <c r="AO11" s="64">
        <v>30</v>
      </c>
      <c r="AP11" s="77">
        <v>15</v>
      </c>
      <c r="AQ11" s="64">
        <v>17.5</v>
      </c>
      <c r="AR11" s="64" t="s">
        <v>137</v>
      </c>
      <c r="AS11" s="64" t="s">
        <v>138</v>
      </c>
      <c r="AT11" s="65" t="s">
        <v>174</v>
      </c>
      <c r="AU11" s="143"/>
      <c r="AW11" s="63" t="s">
        <v>121</v>
      </c>
      <c r="AX11" s="64" t="s">
        <v>122</v>
      </c>
      <c r="AY11" s="64">
        <v>96</v>
      </c>
      <c r="AZ11" s="64">
        <v>228</v>
      </c>
      <c r="BA11" s="164">
        <v>18</v>
      </c>
      <c r="BB11" s="6">
        <v>241</v>
      </c>
      <c r="BC11" s="6">
        <v>300</v>
      </c>
      <c r="BD11" s="71">
        <v>18</v>
      </c>
      <c r="BE11" s="71">
        <v>18</v>
      </c>
      <c r="BF11" s="71">
        <v>18</v>
      </c>
      <c r="BG11" s="71">
        <f t="shared" si="2"/>
        <v>0</v>
      </c>
      <c r="BH11" s="6">
        <v>40</v>
      </c>
      <c r="BI11" s="6">
        <v>2</v>
      </c>
      <c r="BJ11" s="68">
        <v>2</v>
      </c>
      <c r="BK11" s="64">
        <v>45</v>
      </c>
      <c r="BL11" s="77">
        <v>22</v>
      </c>
      <c r="BM11" s="64">
        <v>25</v>
      </c>
      <c r="BN11" s="77">
        <v>12</v>
      </c>
      <c r="BO11" s="64" t="s">
        <v>137</v>
      </c>
      <c r="BP11" s="64" t="s">
        <v>138</v>
      </c>
      <c r="BQ11" s="65" t="s">
        <v>174</v>
      </c>
    </row>
    <row r="12" spans="1:69" ht="79.5" thickBot="1">
      <c r="A12" s="304" t="s">
        <v>178</v>
      </c>
      <c r="B12" s="305"/>
      <c r="C12" s="305"/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N12" s="305"/>
      <c r="O12" s="305"/>
      <c r="P12" s="305"/>
      <c r="Q12" s="305"/>
      <c r="R12" s="305"/>
      <c r="S12" s="305"/>
      <c r="T12" s="305"/>
      <c r="U12" s="305"/>
      <c r="V12" s="306"/>
      <c r="W12" s="60"/>
      <c r="X12" s="60"/>
      <c r="Y12" s="63" t="s">
        <v>120</v>
      </c>
      <c r="Z12" s="64" t="s">
        <v>119</v>
      </c>
      <c r="AA12" s="64">
        <v>60</v>
      </c>
      <c r="AB12" s="64">
        <v>192</v>
      </c>
      <c r="AC12" s="6">
        <v>7</v>
      </c>
      <c r="AD12" s="6">
        <v>241</v>
      </c>
      <c r="AE12" s="64">
        <v>300</v>
      </c>
      <c r="AF12" s="6">
        <v>12</v>
      </c>
      <c r="AG12" s="6">
        <v>12</v>
      </c>
      <c r="AH12" s="6">
        <v>13</v>
      </c>
      <c r="AI12" s="6">
        <f t="shared" si="1"/>
        <v>1</v>
      </c>
      <c r="AJ12" s="68">
        <v>1.5</v>
      </c>
      <c r="AK12" s="6">
        <v>40</v>
      </c>
      <c r="AL12" s="6">
        <v>2</v>
      </c>
      <c r="AM12" s="64">
        <v>40</v>
      </c>
      <c r="AN12" s="77">
        <v>20</v>
      </c>
      <c r="AO12" s="64">
        <v>30</v>
      </c>
      <c r="AP12" s="77">
        <v>15</v>
      </c>
      <c r="AQ12" s="64">
        <v>17.5</v>
      </c>
      <c r="AR12" s="64" t="s">
        <v>137</v>
      </c>
      <c r="AS12" s="64" t="s">
        <v>138</v>
      </c>
      <c r="AT12" s="65" t="s">
        <v>174</v>
      </c>
      <c r="AU12" s="143"/>
      <c r="AW12" s="63" t="s">
        <v>121</v>
      </c>
      <c r="AX12" s="64" t="s">
        <v>122</v>
      </c>
      <c r="AY12" s="64">
        <v>96</v>
      </c>
      <c r="AZ12" s="64">
        <v>228</v>
      </c>
      <c r="BA12" s="164">
        <v>17</v>
      </c>
      <c r="BB12" s="6">
        <v>241</v>
      </c>
      <c r="BC12" s="6">
        <v>300</v>
      </c>
      <c r="BD12" s="71">
        <v>17</v>
      </c>
      <c r="BE12" s="71">
        <v>17</v>
      </c>
      <c r="BF12" s="71">
        <v>18</v>
      </c>
      <c r="BG12" s="71">
        <f t="shared" si="2"/>
        <v>-1</v>
      </c>
      <c r="BH12" s="6">
        <v>40</v>
      </c>
      <c r="BI12" s="6">
        <v>2</v>
      </c>
      <c r="BJ12" s="68">
        <v>2</v>
      </c>
      <c r="BK12" s="64">
        <v>45</v>
      </c>
      <c r="BL12" s="77">
        <v>22</v>
      </c>
      <c r="BM12" s="64">
        <v>25</v>
      </c>
      <c r="BN12" s="77">
        <v>12</v>
      </c>
      <c r="BO12" s="64" t="s">
        <v>137</v>
      </c>
      <c r="BP12" s="64" t="s">
        <v>138</v>
      </c>
      <c r="BQ12" s="65" t="s">
        <v>174</v>
      </c>
    </row>
    <row r="13" spans="1:69" ht="111" thickBot="1">
      <c r="A13" s="63" t="s">
        <v>99</v>
      </c>
      <c r="B13" s="64" t="s">
        <v>100</v>
      </c>
      <c r="C13" s="64" t="s">
        <v>200</v>
      </c>
      <c r="D13" s="64" t="s">
        <v>201</v>
      </c>
      <c r="E13" s="37" t="s">
        <v>101</v>
      </c>
      <c r="F13" s="37" t="s">
        <v>204</v>
      </c>
      <c r="G13" s="37" t="s">
        <v>205</v>
      </c>
      <c r="H13" s="37" t="s">
        <v>208</v>
      </c>
      <c r="I13" s="37" t="s">
        <v>209</v>
      </c>
      <c r="J13" s="37" t="s">
        <v>106</v>
      </c>
      <c r="K13" s="144" t="s">
        <v>179</v>
      </c>
      <c r="L13" s="37" t="s">
        <v>108</v>
      </c>
      <c r="M13" s="37" t="s">
        <v>109</v>
      </c>
      <c r="N13" s="37" t="s">
        <v>110</v>
      </c>
      <c r="O13" s="64" t="s">
        <v>111</v>
      </c>
      <c r="P13" s="64" t="s">
        <v>112</v>
      </c>
      <c r="Q13" s="64" t="s">
        <v>113</v>
      </c>
      <c r="R13" s="64" t="s">
        <v>114</v>
      </c>
      <c r="S13" s="75" t="s">
        <v>131</v>
      </c>
      <c r="T13" s="75" t="s">
        <v>132</v>
      </c>
      <c r="U13" s="75" t="s">
        <v>133</v>
      </c>
      <c r="V13" s="139" t="s">
        <v>173</v>
      </c>
      <c r="Y13" s="79" t="s">
        <v>120</v>
      </c>
      <c r="Z13" s="69" t="s">
        <v>119</v>
      </c>
      <c r="AA13" s="69">
        <v>60</v>
      </c>
      <c r="AB13" s="69">
        <v>192</v>
      </c>
      <c r="AC13" s="70">
        <v>6</v>
      </c>
      <c r="AD13" s="70">
        <v>241</v>
      </c>
      <c r="AE13" s="69">
        <v>300</v>
      </c>
      <c r="AF13" s="70">
        <v>12</v>
      </c>
      <c r="AG13" s="70">
        <v>12</v>
      </c>
      <c r="AH13" s="70">
        <v>13</v>
      </c>
      <c r="AI13" s="70">
        <f t="shared" si="1"/>
        <v>1</v>
      </c>
      <c r="AJ13" s="72">
        <v>1.5</v>
      </c>
      <c r="AK13" s="70">
        <v>40</v>
      </c>
      <c r="AL13" s="70">
        <v>2</v>
      </c>
      <c r="AM13" s="69">
        <v>40</v>
      </c>
      <c r="AN13" s="82">
        <v>20</v>
      </c>
      <c r="AO13" s="69">
        <v>30</v>
      </c>
      <c r="AP13" s="82">
        <v>15</v>
      </c>
      <c r="AQ13" s="69">
        <v>17.5</v>
      </c>
      <c r="AR13" s="69" t="s">
        <v>137</v>
      </c>
      <c r="AS13" s="69" t="s">
        <v>138</v>
      </c>
      <c r="AT13" s="140" t="s">
        <v>174</v>
      </c>
      <c r="AU13" s="143"/>
      <c r="AW13" s="63" t="s">
        <v>121</v>
      </c>
      <c r="AX13" s="64" t="s">
        <v>122</v>
      </c>
      <c r="AY13" s="64">
        <v>96</v>
      </c>
      <c r="AZ13" s="64">
        <v>228</v>
      </c>
      <c r="BA13" s="164">
        <v>16</v>
      </c>
      <c r="BB13" s="6">
        <v>241</v>
      </c>
      <c r="BC13" s="6">
        <v>300</v>
      </c>
      <c r="BD13" s="71">
        <v>16</v>
      </c>
      <c r="BE13" s="71">
        <v>16</v>
      </c>
      <c r="BF13" s="71">
        <v>18</v>
      </c>
      <c r="BG13" s="71">
        <f t="shared" si="2"/>
        <v>-2</v>
      </c>
      <c r="BH13" s="6">
        <v>40</v>
      </c>
      <c r="BI13" s="6">
        <v>2</v>
      </c>
      <c r="BJ13" s="68">
        <v>2</v>
      </c>
      <c r="BK13" s="64">
        <v>45</v>
      </c>
      <c r="BL13" s="77">
        <v>22</v>
      </c>
      <c r="BM13" s="64">
        <v>25</v>
      </c>
      <c r="BN13" s="77">
        <v>12</v>
      </c>
      <c r="BO13" s="64" t="s">
        <v>137</v>
      </c>
      <c r="BP13" s="64" t="s">
        <v>138</v>
      </c>
      <c r="BQ13" s="65" t="s">
        <v>174</v>
      </c>
    </row>
    <row r="14" spans="1:69" ht="32.1" customHeight="1" thickBot="1">
      <c r="A14" s="63" t="s">
        <v>123</v>
      </c>
      <c r="B14" s="64" t="s">
        <v>122</v>
      </c>
      <c r="C14" s="64">
        <v>60</v>
      </c>
      <c r="D14" s="64">
        <v>120</v>
      </c>
      <c r="E14" s="6">
        <v>10</v>
      </c>
      <c r="F14" s="6">
        <v>40</v>
      </c>
      <c r="G14" s="6">
        <v>96</v>
      </c>
      <c r="H14" s="6">
        <v>4</v>
      </c>
      <c r="I14" s="6">
        <v>4</v>
      </c>
      <c r="J14" s="6">
        <v>7</v>
      </c>
      <c r="K14" s="6">
        <f t="shared" ref="K14:K20" si="3">J14-I14</f>
        <v>3</v>
      </c>
      <c r="L14" s="6">
        <v>25</v>
      </c>
      <c r="M14" s="6">
        <v>1.5</v>
      </c>
      <c r="N14" s="6">
        <v>1</v>
      </c>
      <c r="O14" s="64">
        <v>25</v>
      </c>
      <c r="P14" s="64">
        <v>12</v>
      </c>
      <c r="Q14" s="64">
        <v>20</v>
      </c>
      <c r="R14" s="64">
        <v>10</v>
      </c>
      <c r="S14" s="64">
        <v>35</v>
      </c>
      <c r="T14" s="64" t="s">
        <v>137</v>
      </c>
      <c r="U14" s="64" t="s">
        <v>138</v>
      </c>
      <c r="V14" s="65" t="s">
        <v>174</v>
      </c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W14" s="63" t="s">
        <v>121</v>
      </c>
      <c r="AX14" s="64" t="s">
        <v>122</v>
      </c>
      <c r="AY14" s="64">
        <v>96</v>
      </c>
      <c r="AZ14" s="64">
        <v>228</v>
      </c>
      <c r="BA14" s="164">
        <v>15</v>
      </c>
      <c r="BB14" s="6">
        <v>241</v>
      </c>
      <c r="BC14" s="6">
        <v>300</v>
      </c>
      <c r="BD14" s="71">
        <v>15</v>
      </c>
      <c r="BE14" s="71">
        <v>15</v>
      </c>
      <c r="BF14" s="71">
        <v>18</v>
      </c>
      <c r="BG14" s="71">
        <f t="shared" si="2"/>
        <v>-3</v>
      </c>
      <c r="BH14" s="6">
        <v>40</v>
      </c>
      <c r="BI14" s="6">
        <v>2</v>
      </c>
      <c r="BJ14" s="68">
        <v>2</v>
      </c>
      <c r="BK14" s="64">
        <v>45</v>
      </c>
      <c r="BL14" s="77">
        <v>22</v>
      </c>
      <c r="BM14" s="64">
        <v>25</v>
      </c>
      <c r="BN14" s="77">
        <v>12</v>
      </c>
      <c r="BO14" s="64" t="s">
        <v>137</v>
      </c>
      <c r="BP14" s="64" t="s">
        <v>138</v>
      </c>
      <c r="BQ14" s="65" t="s">
        <v>174</v>
      </c>
    </row>
    <row r="15" spans="1:69" ht="78.75">
      <c r="A15" s="63" t="s">
        <v>123</v>
      </c>
      <c r="B15" s="64" t="s">
        <v>122</v>
      </c>
      <c r="C15" s="64">
        <v>60</v>
      </c>
      <c r="D15" s="64">
        <v>120</v>
      </c>
      <c r="E15" s="6">
        <v>9</v>
      </c>
      <c r="F15" s="6">
        <v>40</v>
      </c>
      <c r="G15" s="6">
        <v>96</v>
      </c>
      <c r="H15" s="6">
        <v>5</v>
      </c>
      <c r="I15" s="6">
        <v>5</v>
      </c>
      <c r="J15" s="6">
        <v>7</v>
      </c>
      <c r="K15" s="6">
        <f t="shared" si="3"/>
        <v>2</v>
      </c>
      <c r="L15" s="6">
        <v>25</v>
      </c>
      <c r="M15" s="6">
        <v>1.5</v>
      </c>
      <c r="N15" s="6">
        <v>1</v>
      </c>
      <c r="O15" s="64">
        <v>25</v>
      </c>
      <c r="P15" s="64">
        <v>12</v>
      </c>
      <c r="Q15" s="64">
        <v>20</v>
      </c>
      <c r="R15" s="64">
        <v>10</v>
      </c>
      <c r="S15" s="64">
        <v>35</v>
      </c>
      <c r="T15" s="64" t="s">
        <v>137</v>
      </c>
      <c r="U15" s="64" t="s">
        <v>138</v>
      </c>
      <c r="V15" s="65" t="s">
        <v>174</v>
      </c>
      <c r="W15" s="62"/>
      <c r="X15" s="62"/>
      <c r="Y15" s="298" t="s">
        <v>176</v>
      </c>
      <c r="Z15" s="299"/>
      <c r="AA15" s="299"/>
      <c r="AB15" s="299"/>
      <c r="AC15" s="299"/>
      <c r="AD15" s="299"/>
      <c r="AE15" s="299"/>
      <c r="AF15" s="299"/>
      <c r="AG15" s="299"/>
      <c r="AH15" s="299"/>
      <c r="AI15" s="299"/>
      <c r="AJ15" s="299"/>
      <c r="AK15" s="299"/>
      <c r="AL15" s="299"/>
      <c r="AM15" s="299"/>
      <c r="AN15" s="299"/>
      <c r="AO15" s="299"/>
      <c r="AP15" s="299"/>
      <c r="AQ15" s="299"/>
      <c r="AR15" s="299"/>
      <c r="AS15" s="299"/>
      <c r="AT15" s="303"/>
      <c r="AU15" s="149"/>
      <c r="AW15" s="63" t="s">
        <v>121</v>
      </c>
      <c r="AX15" s="64" t="s">
        <v>122</v>
      </c>
      <c r="AY15" s="64">
        <v>96</v>
      </c>
      <c r="AZ15" s="64">
        <v>228</v>
      </c>
      <c r="BA15" s="164">
        <v>14</v>
      </c>
      <c r="BB15" s="6">
        <v>241</v>
      </c>
      <c r="BC15" s="6">
        <v>300</v>
      </c>
      <c r="BD15" s="71">
        <v>14</v>
      </c>
      <c r="BE15" s="71">
        <v>14</v>
      </c>
      <c r="BF15" s="71">
        <v>18</v>
      </c>
      <c r="BG15" s="71">
        <f t="shared" si="2"/>
        <v>-4</v>
      </c>
      <c r="BH15" s="6">
        <v>40</v>
      </c>
      <c r="BI15" s="6">
        <v>2</v>
      </c>
      <c r="BJ15" s="68">
        <v>2</v>
      </c>
      <c r="BK15" s="64">
        <v>45</v>
      </c>
      <c r="BL15" s="77">
        <v>22</v>
      </c>
      <c r="BM15" s="64">
        <v>25</v>
      </c>
      <c r="BN15" s="77">
        <v>12</v>
      </c>
      <c r="BO15" s="64" t="s">
        <v>137</v>
      </c>
      <c r="BP15" s="64" t="s">
        <v>138</v>
      </c>
      <c r="BQ15" s="65" t="s">
        <v>174</v>
      </c>
    </row>
    <row r="16" spans="1:69" ht="94.5">
      <c r="A16" s="63" t="s">
        <v>123</v>
      </c>
      <c r="B16" s="64" t="s">
        <v>122</v>
      </c>
      <c r="C16" s="64">
        <v>60</v>
      </c>
      <c r="D16" s="64">
        <v>120</v>
      </c>
      <c r="E16" s="6">
        <v>8</v>
      </c>
      <c r="F16" s="6">
        <v>40</v>
      </c>
      <c r="G16" s="6">
        <v>96</v>
      </c>
      <c r="H16" s="6">
        <v>6</v>
      </c>
      <c r="I16" s="6">
        <v>6</v>
      </c>
      <c r="J16" s="6">
        <v>7</v>
      </c>
      <c r="K16" s="6">
        <f t="shared" si="3"/>
        <v>1</v>
      </c>
      <c r="L16" s="6">
        <v>25</v>
      </c>
      <c r="M16" s="6">
        <v>1.5</v>
      </c>
      <c r="N16" s="6">
        <v>1</v>
      </c>
      <c r="O16" s="64">
        <v>25</v>
      </c>
      <c r="P16" s="64">
        <v>12</v>
      </c>
      <c r="Q16" s="64">
        <v>20</v>
      </c>
      <c r="R16" s="64">
        <v>10</v>
      </c>
      <c r="S16" s="64">
        <v>35</v>
      </c>
      <c r="T16" s="64" t="s">
        <v>137</v>
      </c>
      <c r="U16" s="64" t="s">
        <v>138</v>
      </c>
      <c r="V16" s="65" t="s">
        <v>174</v>
      </c>
      <c r="W16" s="66"/>
      <c r="X16" s="66"/>
      <c r="Y16" s="63" t="s">
        <v>115</v>
      </c>
      <c r="Z16" s="64" t="s">
        <v>100</v>
      </c>
      <c r="AA16" s="64" t="s">
        <v>200</v>
      </c>
      <c r="AB16" s="64" t="s">
        <v>201</v>
      </c>
      <c r="AC16" s="37" t="s">
        <v>101</v>
      </c>
      <c r="AD16" s="37" t="s">
        <v>102</v>
      </c>
      <c r="AE16" s="37" t="s">
        <v>103</v>
      </c>
      <c r="AF16" s="37" t="s">
        <v>208</v>
      </c>
      <c r="AG16" s="37" t="s">
        <v>209</v>
      </c>
      <c r="AH16" s="37" t="s">
        <v>106</v>
      </c>
      <c r="AI16" s="37" t="s">
        <v>179</v>
      </c>
      <c r="AJ16" s="37" t="s">
        <v>110</v>
      </c>
      <c r="AK16" s="37" t="s">
        <v>108</v>
      </c>
      <c r="AL16" s="37" t="s">
        <v>116</v>
      </c>
      <c r="AM16" s="64" t="s">
        <v>111</v>
      </c>
      <c r="AN16" s="64" t="s">
        <v>112</v>
      </c>
      <c r="AO16" s="64" t="s">
        <v>113</v>
      </c>
      <c r="AP16" s="64" t="s">
        <v>114</v>
      </c>
      <c r="AQ16" s="75" t="s">
        <v>131</v>
      </c>
      <c r="AR16" s="75" t="s">
        <v>132</v>
      </c>
      <c r="AS16" s="75" t="s">
        <v>133</v>
      </c>
      <c r="AT16" s="139" t="s">
        <v>173</v>
      </c>
      <c r="AU16" s="60"/>
      <c r="AW16" s="63" t="s">
        <v>121</v>
      </c>
      <c r="AX16" s="64" t="s">
        <v>122</v>
      </c>
      <c r="AY16" s="64">
        <v>96</v>
      </c>
      <c r="AZ16" s="64">
        <v>228</v>
      </c>
      <c r="BA16" s="164">
        <v>13</v>
      </c>
      <c r="BB16" s="6">
        <v>241</v>
      </c>
      <c r="BC16" s="6">
        <v>300</v>
      </c>
      <c r="BD16" s="71">
        <v>13</v>
      </c>
      <c r="BE16" s="71">
        <v>13</v>
      </c>
      <c r="BF16" s="71">
        <v>18</v>
      </c>
      <c r="BG16" s="71">
        <f t="shared" si="2"/>
        <v>-5</v>
      </c>
      <c r="BH16" s="6">
        <v>40</v>
      </c>
      <c r="BI16" s="6">
        <v>2</v>
      </c>
      <c r="BJ16" s="68">
        <v>2</v>
      </c>
      <c r="BK16" s="64">
        <v>45</v>
      </c>
      <c r="BL16" s="77">
        <v>22</v>
      </c>
      <c r="BM16" s="64">
        <v>25</v>
      </c>
      <c r="BN16" s="77">
        <v>12</v>
      </c>
      <c r="BO16" s="64" t="s">
        <v>137</v>
      </c>
      <c r="BP16" s="64" t="s">
        <v>138</v>
      </c>
      <c r="BQ16" s="65" t="s">
        <v>174</v>
      </c>
    </row>
    <row r="17" spans="1:74" ht="78.75">
      <c r="A17" s="63" t="s">
        <v>123</v>
      </c>
      <c r="B17" s="64" t="s">
        <v>122</v>
      </c>
      <c r="C17" s="64">
        <v>60</v>
      </c>
      <c r="D17" s="64">
        <v>120</v>
      </c>
      <c r="E17" s="6">
        <v>7</v>
      </c>
      <c r="F17" s="6">
        <v>40</v>
      </c>
      <c r="G17" s="6">
        <v>96</v>
      </c>
      <c r="H17" s="6">
        <v>7</v>
      </c>
      <c r="I17" s="6">
        <v>7</v>
      </c>
      <c r="J17" s="6">
        <v>7</v>
      </c>
      <c r="K17" s="71">
        <f t="shared" si="3"/>
        <v>0</v>
      </c>
      <c r="L17" s="6">
        <v>25</v>
      </c>
      <c r="M17" s="6">
        <v>1.5</v>
      </c>
      <c r="N17" s="6">
        <v>1</v>
      </c>
      <c r="O17" s="64">
        <v>25</v>
      </c>
      <c r="P17" s="64">
        <v>12</v>
      </c>
      <c r="Q17" s="64">
        <v>20</v>
      </c>
      <c r="R17" s="64">
        <v>10</v>
      </c>
      <c r="S17" s="64">
        <v>35</v>
      </c>
      <c r="T17" s="64" t="s">
        <v>137</v>
      </c>
      <c r="U17" s="64" t="s">
        <v>138</v>
      </c>
      <c r="V17" s="65" t="s">
        <v>174</v>
      </c>
      <c r="W17" s="66"/>
      <c r="X17" s="66"/>
      <c r="Y17" s="63" t="s">
        <v>124</v>
      </c>
      <c r="Z17" s="64" t="s">
        <v>122</v>
      </c>
      <c r="AA17" s="64">
        <v>60</v>
      </c>
      <c r="AB17" s="64">
        <v>192</v>
      </c>
      <c r="AC17" s="6">
        <v>15</v>
      </c>
      <c r="AD17" s="6">
        <v>60</v>
      </c>
      <c r="AE17" s="64">
        <v>120</v>
      </c>
      <c r="AF17" s="6">
        <v>4</v>
      </c>
      <c r="AG17" s="6">
        <v>4</v>
      </c>
      <c r="AH17" s="6">
        <v>13</v>
      </c>
      <c r="AI17" s="6">
        <f>AH17-AG17</f>
        <v>9</v>
      </c>
      <c r="AJ17" s="68">
        <v>1</v>
      </c>
      <c r="AK17" s="6">
        <v>25</v>
      </c>
      <c r="AL17" s="6">
        <v>1.5</v>
      </c>
      <c r="AM17" s="64">
        <v>25</v>
      </c>
      <c r="AN17" s="64">
        <v>12</v>
      </c>
      <c r="AO17" s="64">
        <v>20</v>
      </c>
      <c r="AP17" s="64">
        <v>10</v>
      </c>
      <c r="AQ17" s="64">
        <v>17.5</v>
      </c>
      <c r="AR17" s="64" t="s">
        <v>137</v>
      </c>
      <c r="AS17" s="64" t="s">
        <v>138</v>
      </c>
      <c r="AT17" s="65" t="s">
        <v>174</v>
      </c>
      <c r="AU17" s="60"/>
      <c r="AW17" s="63" t="s">
        <v>121</v>
      </c>
      <c r="AX17" s="64" t="s">
        <v>122</v>
      </c>
      <c r="AY17" s="64">
        <v>96</v>
      </c>
      <c r="AZ17" s="64">
        <v>228</v>
      </c>
      <c r="BA17" s="164">
        <v>12</v>
      </c>
      <c r="BB17" s="6">
        <v>241</v>
      </c>
      <c r="BC17" s="6">
        <v>300</v>
      </c>
      <c r="BD17" s="71">
        <v>12</v>
      </c>
      <c r="BE17" s="71">
        <v>12</v>
      </c>
      <c r="BF17" s="71">
        <v>18</v>
      </c>
      <c r="BG17" s="71">
        <f t="shared" si="2"/>
        <v>-6</v>
      </c>
      <c r="BH17" s="6">
        <v>40</v>
      </c>
      <c r="BI17" s="6">
        <v>2</v>
      </c>
      <c r="BJ17" s="68">
        <v>2</v>
      </c>
      <c r="BK17" s="64">
        <v>45</v>
      </c>
      <c r="BL17" s="77">
        <v>22</v>
      </c>
      <c r="BM17" s="64">
        <v>25</v>
      </c>
      <c r="BN17" s="77">
        <v>12</v>
      </c>
      <c r="BO17" s="64" t="s">
        <v>137</v>
      </c>
      <c r="BP17" s="64" t="s">
        <v>138</v>
      </c>
      <c r="BQ17" s="65" t="s">
        <v>174</v>
      </c>
    </row>
    <row r="18" spans="1:74" ht="78.75">
      <c r="A18" s="63" t="s">
        <v>123</v>
      </c>
      <c r="B18" s="64" t="s">
        <v>122</v>
      </c>
      <c r="C18" s="64">
        <v>60</v>
      </c>
      <c r="D18" s="64">
        <v>120</v>
      </c>
      <c r="E18" s="6">
        <v>6</v>
      </c>
      <c r="F18" s="6">
        <v>40</v>
      </c>
      <c r="G18" s="6">
        <v>96</v>
      </c>
      <c r="H18" s="6">
        <v>7</v>
      </c>
      <c r="I18" s="6">
        <v>7</v>
      </c>
      <c r="J18" s="6">
        <v>7</v>
      </c>
      <c r="K18" s="71">
        <f t="shared" si="3"/>
        <v>0</v>
      </c>
      <c r="L18" s="6">
        <v>25</v>
      </c>
      <c r="M18" s="6">
        <v>1.5</v>
      </c>
      <c r="N18" s="6">
        <v>1</v>
      </c>
      <c r="O18" s="64">
        <v>25</v>
      </c>
      <c r="P18" s="64">
        <v>12</v>
      </c>
      <c r="Q18" s="64">
        <v>20</v>
      </c>
      <c r="R18" s="64">
        <v>10</v>
      </c>
      <c r="S18" s="64">
        <v>35</v>
      </c>
      <c r="T18" s="64" t="s">
        <v>137</v>
      </c>
      <c r="U18" s="64" t="s">
        <v>138</v>
      </c>
      <c r="V18" s="65" t="s">
        <v>174</v>
      </c>
      <c r="W18" s="67"/>
      <c r="X18" s="67"/>
      <c r="Y18" s="63" t="s">
        <v>124</v>
      </c>
      <c r="Z18" s="64" t="s">
        <v>122</v>
      </c>
      <c r="AA18" s="64">
        <v>60</v>
      </c>
      <c r="AB18" s="64">
        <v>192</v>
      </c>
      <c r="AC18" s="6">
        <v>14</v>
      </c>
      <c r="AD18" s="6">
        <v>121</v>
      </c>
      <c r="AE18" s="64">
        <v>180</v>
      </c>
      <c r="AF18" s="6">
        <v>5</v>
      </c>
      <c r="AG18" s="6">
        <v>5</v>
      </c>
      <c r="AH18" s="6">
        <v>13</v>
      </c>
      <c r="AI18" s="6">
        <f t="shared" ref="AI18:AI26" si="4">AH18-AG18</f>
        <v>8</v>
      </c>
      <c r="AJ18" s="68">
        <v>1.5</v>
      </c>
      <c r="AK18" s="6">
        <v>30</v>
      </c>
      <c r="AL18" s="6">
        <v>1.5</v>
      </c>
      <c r="AM18" s="64">
        <v>30</v>
      </c>
      <c r="AN18" s="77">
        <v>15</v>
      </c>
      <c r="AO18" s="64">
        <v>25</v>
      </c>
      <c r="AP18" s="77">
        <v>12</v>
      </c>
      <c r="AQ18" s="64">
        <v>17.5</v>
      </c>
      <c r="AR18" s="64" t="s">
        <v>137</v>
      </c>
      <c r="AS18" s="64" t="s">
        <v>138</v>
      </c>
      <c r="AT18" s="65" t="s">
        <v>174</v>
      </c>
      <c r="AU18" s="60"/>
      <c r="AW18" s="63" t="s">
        <v>121</v>
      </c>
      <c r="AX18" s="64" t="s">
        <v>122</v>
      </c>
      <c r="AY18" s="64">
        <v>96</v>
      </c>
      <c r="AZ18" s="64">
        <v>228</v>
      </c>
      <c r="BA18" s="164">
        <v>11</v>
      </c>
      <c r="BB18" s="6">
        <v>241</v>
      </c>
      <c r="BC18" s="6">
        <v>300</v>
      </c>
      <c r="BD18" s="71">
        <v>11</v>
      </c>
      <c r="BE18" s="71">
        <v>11</v>
      </c>
      <c r="BF18" s="71">
        <v>18</v>
      </c>
      <c r="BG18" s="71">
        <f t="shared" si="2"/>
        <v>-7</v>
      </c>
      <c r="BH18" s="6">
        <v>40</v>
      </c>
      <c r="BI18" s="6">
        <v>2</v>
      </c>
      <c r="BJ18" s="68">
        <v>2</v>
      </c>
      <c r="BK18" s="64">
        <v>45</v>
      </c>
      <c r="BL18" s="77">
        <v>22</v>
      </c>
      <c r="BM18" s="64">
        <v>25</v>
      </c>
      <c r="BN18" s="77">
        <v>12</v>
      </c>
      <c r="BO18" s="64" t="s">
        <v>137</v>
      </c>
      <c r="BP18" s="64" t="s">
        <v>138</v>
      </c>
      <c r="BQ18" s="65" t="s">
        <v>174</v>
      </c>
    </row>
    <row r="19" spans="1:74" ht="79.5" thickBot="1">
      <c r="A19" s="63" t="s">
        <v>123</v>
      </c>
      <c r="B19" s="64" t="s">
        <v>122</v>
      </c>
      <c r="C19" s="64">
        <v>60</v>
      </c>
      <c r="D19" s="64">
        <v>120</v>
      </c>
      <c r="E19" s="6">
        <v>5</v>
      </c>
      <c r="F19" s="6">
        <v>40</v>
      </c>
      <c r="G19" s="6">
        <v>96</v>
      </c>
      <c r="H19" s="6">
        <v>7</v>
      </c>
      <c r="I19" s="6">
        <v>7</v>
      </c>
      <c r="J19" s="6">
        <v>7</v>
      </c>
      <c r="K19" s="71">
        <f t="shared" si="3"/>
        <v>0</v>
      </c>
      <c r="L19" s="6">
        <v>25</v>
      </c>
      <c r="M19" s="6">
        <v>1.5</v>
      </c>
      <c r="N19" s="6">
        <v>1</v>
      </c>
      <c r="O19" s="64">
        <v>25</v>
      </c>
      <c r="P19" s="64">
        <v>12</v>
      </c>
      <c r="Q19" s="64">
        <v>20</v>
      </c>
      <c r="R19" s="64">
        <v>10</v>
      </c>
      <c r="S19" s="64">
        <v>35</v>
      </c>
      <c r="T19" s="64" t="s">
        <v>137</v>
      </c>
      <c r="U19" s="64" t="s">
        <v>138</v>
      </c>
      <c r="V19" s="65" t="s">
        <v>174</v>
      </c>
      <c r="W19" s="67"/>
      <c r="X19" s="67"/>
      <c r="Y19" s="63" t="s">
        <v>124</v>
      </c>
      <c r="Z19" s="64" t="s">
        <v>122</v>
      </c>
      <c r="AA19" s="64">
        <v>60</v>
      </c>
      <c r="AB19" s="64">
        <v>192</v>
      </c>
      <c r="AC19" s="6">
        <v>13</v>
      </c>
      <c r="AD19" s="6">
        <v>181</v>
      </c>
      <c r="AE19" s="64">
        <v>240</v>
      </c>
      <c r="AF19" s="6">
        <v>6</v>
      </c>
      <c r="AG19" s="6">
        <v>6</v>
      </c>
      <c r="AH19" s="6">
        <v>13</v>
      </c>
      <c r="AI19" s="6">
        <f t="shared" si="4"/>
        <v>7</v>
      </c>
      <c r="AJ19" s="68">
        <v>1.5</v>
      </c>
      <c r="AK19" s="6">
        <v>40</v>
      </c>
      <c r="AL19" s="6">
        <v>2</v>
      </c>
      <c r="AM19" s="64">
        <v>40</v>
      </c>
      <c r="AN19" s="77">
        <v>20</v>
      </c>
      <c r="AO19" s="64">
        <v>30</v>
      </c>
      <c r="AP19" s="77">
        <v>15</v>
      </c>
      <c r="AQ19" s="64">
        <v>17.5</v>
      </c>
      <c r="AR19" s="64" t="s">
        <v>137</v>
      </c>
      <c r="AS19" s="64" t="s">
        <v>138</v>
      </c>
      <c r="AT19" s="65" t="s">
        <v>174</v>
      </c>
      <c r="AU19" s="143"/>
      <c r="AW19" s="79" t="s">
        <v>121</v>
      </c>
      <c r="AX19" s="69" t="s">
        <v>122</v>
      </c>
      <c r="AY19" s="69">
        <v>96</v>
      </c>
      <c r="AZ19" s="69">
        <v>228</v>
      </c>
      <c r="BA19" s="165">
        <v>10</v>
      </c>
      <c r="BB19" s="70">
        <v>241</v>
      </c>
      <c r="BC19" s="70">
        <v>300</v>
      </c>
      <c r="BD19" s="80">
        <v>10</v>
      </c>
      <c r="BE19" s="80">
        <v>10</v>
      </c>
      <c r="BF19" s="80">
        <v>18</v>
      </c>
      <c r="BG19" s="71">
        <f t="shared" si="2"/>
        <v>-8</v>
      </c>
      <c r="BH19" s="70">
        <v>40</v>
      </c>
      <c r="BI19" s="70">
        <v>2</v>
      </c>
      <c r="BJ19" s="72">
        <v>2</v>
      </c>
      <c r="BK19" s="69">
        <v>45</v>
      </c>
      <c r="BL19" s="82">
        <v>22</v>
      </c>
      <c r="BM19" s="69">
        <v>25</v>
      </c>
      <c r="BN19" s="82">
        <v>12</v>
      </c>
      <c r="BO19" s="69" t="s">
        <v>137</v>
      </c>
      <c r="BP19" s="69" t="s">
        <v>138</v>
      </c>
      <c r="BQ19" s="140" t="s">
        <v>174</v>
      </c>
    </row>
    <row r="20" spans="1:74" ht="79.5" thickBot="1">
      <c r="A20" s="79" t="s">
        <v>123</v>
      </c>
      <c r="B20" s="69" t="s">
        <v>122</v>
      </c>
      <c r="C20" s="69">
        <v>60</v>
      </c>
      <c r="D20" s="69">
        <v>120</v>
      </c>
      <c r="E20" s="70">
        <v>4</v>
      </c>
      <c r="F20" s="70">
        <v>40</v>
      </c>
      <c r="G20" s="70">
        <v>96</v>
      </c>
      <c r="H20" s="70">
        <v>7</v>
      </c>
      <c r="I20" s="70">
        <v>7</v>
      </c>
      <c r="J20" s="70">
        <v>7</v>
      </c>
      <c r="K20" s="80">
        <f t="shared" si="3"/>
        <v>0</v>
      </c>
      <c r="L20" s="70">
        <v>25</v>
      </c>
      <c r="M20" s="70">
        <v>1.5</v>
      </c>
      <c r="N20" s="70">
        <v>1</v>
      </c>
      <c r="O20" s="69">
        <v>25</v>
      </c>
      <c r="P20" s="69">
        <v>12</v>
      </c>
      <c r="Q20" s="69">
        <v>20</v>
      </c>
      <c r="R20" s="69">
        <v>10</v>
      </c>
      <c r="S20" s="69">
        <v>35</v>
      </c>
      <c r="T20" s="69" t="s">
        <v>137</v>
      </c>
      <c r="U20" s="69" t="s">
        <v>138</v>
      </c>
      <c r="V20" s="140" t="s">
        <v>174</v>
      </c>
      <c r="W20" s="67"/>
      <c r="X20" s="67"/>
      <c r="Y20" s="63" t="s">
        <v>124</v>
      </c>
      <c r="Z20" s="64" t="s">
        <v>122</v>
      </c>
      <c r="AA20" s="64">
        <v>60</v>
      </c>
      <c r="AB20" s="64">
        <v>192</v>
      </c>
      <c r="AC20" s="6">
        <v>12</v>
      </c>
      <c r="AD20" s="6">
        <v>241</v>
      </c>
      <c r="AE20" s="64">
        <v>300</v>
      </c>
      <c r="AF20" s="6">
        <v>7</v>
      </c>
      <c r="AG20" s="6">
        <v>7</v>
      </c>
      <c r="AH20" s="6">
        <v>13</v>
      </c>
      <c r="AI20" s="6">
        <f t="shared" si="4"/>
        <v>6</v>
      </c>
      <c r="AJ20" s="68">
        <v>1.5</v>
      </c>
      <c r="AK20" s="6">
        <v>40</v>
      </c>
      <c r="AL20" s="6">
        <v>2</v>
      </c>
      <c r="AM20" s="64">
        <v>40</v>
      </c>
      <c r="AN20" s="77">
        <v>20</v>
      </c>
      <c r="AO20" s="64">
        <v>30</v>
      </c>
      <c r="AP20" s="77">
        <v>15</v>
      </c>
      <c r="AQ20" s="64">
        <v>17.5</v>
      </c>
      <c r="AR20" s="64" t="s">
        <v>137</v>
      </c>
      <c r="AS20" s="64" t="s">
        <v>138</v>
      </c>
      <c r="AT20" s="65" t="s">
        <v>174</v>
      </c>
      <c r="AU20" s="143"/>
      <c r="AY20" s="60"/>
      <c r="AZ20" s="60"/>
      <c r="BA20" s="60"/>
      <c r="BB20" s="60"/>
      <c r="BC20" s="60"/>
      <c r="BD20" s="60"/>
      <c r="BE20" s="60"/>
      <c r="BN20" s="60"/>
      <c r="BO20" s="60"/>
    </row>
    <row r="21" spans="1:74" ht="78.75">
      <c r="W21" s="67"/>
      <c r="X21" s="67"/>
      <c r="Y21" s="63" t="s">
        <v>124</v>
      </c>
      <c r="Z21" s="64" t="s">
        <v>122</v>
      </c>
      <c r="AA21" s="64">
        <v>60</v>
      </c>
      <c r="AB21" s="64">
        <v>192</v>
      </c>
      <c r="AC21" s="6">
        <v>11</v>
      </c>
      <c r="AD21" s="6">
        <v>241</v>
      </c>
      <c r="AE21" s="64">
        <v>300</v>
      </c>
      <c r="AF21" s="6">
        <v>8</v>
      </c>
      <c r="AG21" s="6">
        <v>8</v>
      </c>
      <c r="AH21" s="6">
        <v>13</v>
      </c>
      <c r="AI21" s="6">
        <f t="shared" si="4"/>
        <v>5</v>
      </c>
      <c r="AJ21" s="68">
        <v>1.5</v>
      </c>
      <c r="AK21" s="6">
        <v>40</v>
      </c>
      <c r="AL21" s="6">
        <v>2</v>
      </c>
      <c r="AM21" s="64">
        <v>40</v>
      </c>
      <c r="AN21" s="77">
        <v>20</v>
      </c>
      <c r="AO21" s="64">
        <v>30</v>
      </c>
      <c r="AP21" s="77">
        <v>15</v>
      </c>
      <c r="AQ21" s="64">
        <v>17.5</v>
      </c>
      <c r="AR21" s="64" t="s">
        <v>137</v>
      </c>
      <c r="AS21" s="64" t="s">
        <v>138</v>
      </c>
      <c r="AT21" s="65" t="s">
        <v>174</v>
      </c>
      <c r="AU21" s="143"/>
      <c r="AW21" s="300" t="s">
        <v>180</v>
      </c>
      <c r="AX21" s="301"/>
      <c r="AY21" s="301"/>
      <c r="AZ21" s="301"/>
      <c r="BA21" s="301"/>
      <c r="BB21" s="301"/>
      <c r="BC21" s="301"/>
      <c r="BD21" s="301"/>
      <c r="BE21" s="301"/>
      <c r="BF21" s="301"/>
      <c r="BG21" s="301"/>
      <c r="BH21" s="301"/>
      <c r="BI21" s="301"/>
      <c r="BJ21" s="301"/>
      <c r="BK21" s="301"/>
      <c r="BL21" s="301"/>
      <c r="BM21" s="301"/>
      <c r="BN21" s="301"/>
      <c r="BO21" s="301"/>
      <c r="BP21" s="301"/>
      <c r="BQ21" s="302"/>
      <c r="BR21" s="60"/>
      <c r="BS21" s="60"/>
      <c r="BT21" s="60"/>
      <c r="BU21" s="60"/>
      <c r="BV21" s="60"/>
    </row>
    <row r="22" spans="1:74" ht="110.25">
      <c r="W22" s="67"/>
      <c r="X22" s="67"/>
      <c r="Y22" s="63" t="s">
        <v>124</v>
      </c>
      <c r="Z22" s="64" t="s">
        <v>122</v>
      </c>
      <c r="AA22" s="64">
        <v>60</v>
      </c>
      <c r="AB22" s="64">
        <v>192</v>
      </c>
      <c r="AC22" s="6">
        <v>10</v>
      </c>
      <c r="AD22" s="6">
        <v>241</v>
      </c>
      <c r="AE22" s="64">
        <v>300</v>
      </c>
      <c r="AF22" s="6">
        <v>9</v>
      </c>
      <c r="AG22" s="6">
        <v>9</v>
      </c>
      <c r="AH22" s="6">
        <v>13</v>
      </c>
      <c r="AI22" s="6">
        <f t="shared" si="4"/>
        <v>4</v>
      </c>
      <c r="AJ22" s="68">
        <v>1.5</v>
      </c>
      <c r="AK22" s="6">
        <v>40</v>
      </c>
      <c r="AL22" s="6">
        <v>2</v>
      </c>
      <c r="AM22" s="64">
        <v>40</v>
      </c>
      <c r="AN22" s="77">
        <v>20</v>
      </c>
      <c r="AO22" s="64">
        <v>30</v>
      </c>
      <c r="AP22" s="77">
        <v>15</v>
      </c>
      <c r="AQ22" s="64">
        <v>17.5</v>
      </c>
      <c r="AR22" s="64" t="s">
        <v>137</v>
      </c>
      <c r="AS22" s="64" t="s">
        <v>138</v>
      </c>
      <c r="AT22" s="65" t="s">
        <v>174</v>
      </c>
      <c r="AU22" s="143"/>
      <c r="AW22" s="63" t="s">
        <v>99</v>
      </c>
      <c r="AX22" s="64" t="s">
        <v>125</v>
      </c>
      <c r="AY22" s="64" t="s">
        <v>200</v>
      </c>
      <c r="AZ22" s="64" t="s">
        <v>201</v>
      </c>
      <c r="BA22" s="37" t="s">
        <v>101</v>
      </c>
      <c r="BB22" s="37" t="s">
        <v>204</v>
      </c>
      <c r="BC22" s="37" t="s">
        <v>205</v>
      </c>
      <c r="BD22" s="37" t="s">
        <v>208</v>
      </c>
      <c r="BE22" s="37" t="s">
        <v>209</v>
      </c>
      <c r="BF22" s="37" t="s">
        <v>106</v>
      </c>
      <c r="BG22" s="37" t="s">
        <v>179</v>
      </c>
      <c r="BH22" s="37" t="s">
        <v>108</v>
      </c>
      <c r="BI22" s="37" t="s">
        <v>117</v>
      </c>
      <c r="BJ22" s="37" t="s">
        <v>110</v>
      </c>
      <c r="BK22" s="64" t="s">
        <v>111</v>
      </c>
      <c r="BL22" s="64" t="s">
        <v>112</v>
      </c>
      <c r="BM22" s="64" t="s">
        <v>113</v>
      </c>
      <c r="BN22" s="64" t="s">
        <v>114</v>
      </c>
      <c r="BO22" s="75" t="s">
        <v>132</v>
      </c>
      <c r="BP22" s="75" t="s">
        <v>133</v>
      </c>
      <c r="BQ22" s="139" t="s">
        <v>173</v>
      </c>
    </row>
    <row r="23" spans="1:74" ht="78.75">
      <c r="W23" s="67"/>
      <c r="X23" s="67"/>
      <c r="Y23" s="63" t="s">
        <v>124</v>
      </c>
      <c r="Z23" s="64" t="s">
        <v>122</v>
      </c>
      <c r="AA23" s="64">
        <v>60</v>
      </c>
      <c r="AB23" s="64">
        <v>192</v>
      </c>
      <c r="AC23" s="6">
        <v>9</v>
      </c>
      <c r="AD23" s="6">
        <v>241</v>
      </c>
      <c r="AE23" s="64">
        <v>300</v>
      </c>
      <c r="AF23" s="6">
        <v>10</v>
      </c>
      <c r="AG23" s="6">
        <v>10</v>
      </c>
      <c r="AH23" s="6">
        <v>13</v>
      </c>
      <c r="AI23" s="6">
        <f t="shared" si="4"/>
        <v>3</v>
      </c>
      <c r="AJ23" s="68">
        <v>1.5</v>
      </c>
      <c r="AK23" s="6">
        <v>40</v>
      </c>
      <c r="AL23" s="6">
        <v>2</v>
      </c>
      <c r="AM23" s="64">
        <v>40</v>
      </c>
      <c r="AN23" s="77">
        <v>20</v>
      </c>
      <c r="AO23" s="64">
        <v>30</v>
      </c>
      <c r="AP23" s="77">
        <v>15</v>
      </c>
      <c r="AQ23" s="64">
        <v>17.5</v>
      </c>
      <c r="AR23" s="64" t="s">
        <v>137</v>
      </c>
      <c r="AS23" s="64" t="s">
        <v>138</v>
      </c>
      <c r="AT23" s="65" t="s">
        <v>174</v>
      </c>
      <c r="AU23" s="143"/>
      <c r="AW23" s="73" t="s">
        <v>126</v>
      </c>
      <c r="AX23" s="64" t="s">
        <v>122</v>
      </c>
      <c r="AY23" s="64">
        <v>96</v>
      </c>
      <c r="AZ23" s="64">
        <v>228</v>
      </c>
      <c r="BA23" s="6">
        <v>25</v>
      </c>
      <c r="BB23" s="6">
        <v>120</v>
      </c>
      <c r="BC23" s="6">
        <v>180</v>
      </c>
      <c r="BD23" s="6">
        <v>25</v>
      </c>
      <c r="BE23" s="6">
        <v>25</v>
      </c>
      <c r="BF23" s="6">
        <v>18</v>
      </c>
      <c r="BG23" s="6">
        <f>BE23-BF23</f>
        <v>7</v>
      </c>
      <c r="BH23" s="6">
        <v>30</v>
      </c>
      <c r="BI23" s="6">
        <v>1.5</v>
      </c>
      <c r="BJ23" s="68">
        <v>1.5</v>
      </c>
      <c r="BK23" s="64">
        <v>36</v>
      </c>
      <c r="BL23" s="77">
        <v>18</v>
      </c>
      <c r="BM23" s="64">
        <v>20</v>
      </c>
      <c r="BN23" s="77">
        <v>10</v>
      </c>
      <c r="BO23" s="64" t="s">
        <v>137</v>
      </c>
      <c r="BP23" s="64" t="s">
        <v>138</v>
      </c>
      <c r="BQ23" s="65" t="s">
        <v>174</v>
      </c>
    </row>
    <row r="24" spans="1:74" ht="78.75">
      <c r="W24" s="67"/>
      <c r="X24" s="67"/>
      <c r="Y24" s="63" t="s">
        <v>124</v>
      </c>
      <c r="Z24" s="64" t="s">
        <v>122</v>
      </c>
      <c r="AA24" s="64">
        <v>60</v>
      </c>
      <c r="AB24" s="64">
        <v>192</v>
      </c>
      <c r="AC24" s="6">
        <v>8</v>
      </c>
      <c r="AD24" s="6">
        <v>241</v>
      </c>
      <c r="AE24" s="64">
        <v>300</v>
      </c>
      <c r="AF24" s="6">
        <v>11</v>
      </c>
      <c r="AG24" s="6">
        <v>11</v>
      </c>
      <c r="AH24" s="6">
        <v>13</v>
      </c>
      <c r="AI24" s="6">
        <f t="shared" si="4"/>
        <v>2</v>
      </c>
      <c r="AJ24" s="68">
        <v>1.5</v>
      </c>
      <c r="AK24" s="6">
        <v>40</v>
      </c>
      <c r="AL24" s="6">
        <v>2</v>
      </c>
      <c r="AM24" s="64">
        <v>40</v>
      </c>
      <c r="AN24" s="77">
        <v>20</v>
      </c>
      <c r="AO24" s="64">
        <v>30</v>
      </c>
      <c r="AP24" s="77">
        <v>15</v>
      </c>
      <c r="AQ24" s="64">
        <v>17.5</v>
      </c>
      <c r="AR24" s="64" t="s">
        <v>137</v>
      </c>
      <c r="AS24" s="64" t="s">
        <v>138</v>
      </c>
      <c r="AT24" s="65" t="s">
        <v>174</v>
      </c>
      <c r="AU24" s="143"/>
      <c r="AW24" s="73" t="s">
        <v>126</v>
      </c>
      <c r="AX24" s="64" t="s">
        <v>122</v>
      </c>
      <c r="AY24" s="64">
        <v>96</v>
      </c>
      <c r="AZ24" s="64">
        <v>228</v>
      </c>
      <c r="BA24" s="6">
        <v>24</v>
      </c>
      <c r="BB24" s="6">
        <v>180</v>
      </c>
      <c r="BC24" s="6">
        <v>240</v>
      </c>
      <c r="BD24" s="6">
        <v>24</v>
      </c>
      <c r="BE24" s="6">
        <v>24</v>
      </c>
      <c r="BF24" s="6">
        <v>18</v>
      </c>
      <c r="BG24" s="6">
        <f t="shared" ref="BG24:BG38" si="5">BE24-BF24</f>
        <v>6</v>
      </c>
      <c r="BH24" s="6">
        <v>35</v>
      </c>
      <c r="BI24" s="6">
        <v>1.5</v>
      </c>
      <c r="BJ24" s="68">
        <v>1.5</v>
      </c>
      <c r="BK24" s="64">
        <v>40</v>
      </c>
      <c r="BL24" s="77">
        <v>20</v>
      </c>
      <c r="BM24" s="64">
        <v>25</v>
      </c>
      <c r="BN24" s="77">
        <v>12</v>
      </c>
      <c r="BO24" s="64" t="s">
        <v>137</v>
      </c>
      <c r="BP24" s="64" t="s">
        <v>138</v>
      </c>
      <c r="BQ24" s="65" t="s">
        <v>174</v>
      </c>
    </row>
    <row r="25" spans="1:74" ht="78.75">
      <c r="Y25" s="63" t="s">
        <v>124</v>
      </c>
      <c r="Z25" s="64" t="s">
        <v>122</v>
      </c>
      <c r="AA25" s="64">
        <v>60</v>
      </c>
      <c r="AB25" s="64">
        <v>192</v>
      </c>
      <c r="AC25" s="6">
        <v>7</v>
      </c>
      <c r="AD25" s="6">
        <v>241</v>
      </c>
      <c r="AE25" s="64">
        <v>300</v>
      </c>
      <c r="AF25" s="6">
        <v>12</v>
      </c>
      <c r="AG25" s="6">
        <v>12</v>
      </c>
      <c r="AH25" s="6">
        <v>13</v>
      </c>
      <c r="AI25" s="6">
        <f t="shared" si="4"/>
        <v>1</v>
      </c>
      <c r="AJ25" s="68">
        <v>1.5</v>
      </c>
      <c r="AK25" s="6">
        <v>40</v>
      </c>
      <c r="AL25" s="6">
        <v>2</v>
      </c>
      <c r="AM25" s="64">
        <v>40</v>
      </c>
      <c r="AN25" s="77">
        <v>20</v>
      </c>
      <c r="AO25" s="64">
        <v>30</v>
      </c>
      <c r="AP25" s="77">
        <v>15</v>
      </c>
      <c r="AQ25" s="64">
        <v>17.5</v>
      </c>
      <c r="AR25" s="64" t="s">
        <v>137</v>
      </c>
      <c r="AS25" s="64" t="s">
        <v>138</v>
      </c>
      <c r="AT25" s="65" t="s">
        <v>174</v>
      </c>
      <c r="AU25" s="143"/>
      <c r="AW25" s="73" t="s">
        <v>126</v>
      </c>
      <c r="AX25" s="64" t="s">
        <v>122</v>
      </c>
      <c r="AY25" s="64">
        <v>96</v>
      </c>
      <c r="AZ25" s="64">
        <v>228</v>
      </c>
      <c r="BA25" s="6">
        <v>23</v>
      </c>
      <c r="BB25" s="6">
        <v>241</v>
      </c>
      <c r="BC25" s="6">
        <v>300</v>
      </c>
      <c r="BD25" s="6">
        <v>23</v>
      </c>
      <c r="BE25" s="6">
        <v>23</v>
      </c>
      <c r="BF25" s="6">
        <v>18</v>
      </c>
      <c r="BG25" s="6">
        <f t="shared" si="5"/>
        <v>5</v>
      </c>
      <c r="BH25" s="6">
        <v>40</v>
      </c>
      <c r="BI25" s="6">
        <v>2</v>
      </c>
      <c r="BJ25" s="68">
        <v>2</v>
      </c>
      <c r="BK25" s="64">
        <v>45</v>
      </c>
      <c r="BL25" s="77">
        <v>22</v>
      </c>
      <c r="BM25" s="64">
        <v>25</v>
      </c>
      <c r="BN25" s="77">
        <v>12</v>
      </c>
      <c r="BO25" s="64" t="s">
        <v>137</v>
      </c>
      <c r="BP25" s="64" t="s">
        <v>138</v>
      </c>
      <c r="BQ25" s="65" t="s">
        <v>174</v>
      </c>
    </row>
    <row r="26" spans="1:74" ht="79.5" thickBot="1">
      <c r="Y26" s="79" t="s">
        <v>124</v>
      </c>
      <c r="Z26" s="69" t="s">
        <v>122</v>
      </c>
      <c r="AA26" s="69">
        <v>60</v>
      </c>
      <c r="AB26" s="69">
        <v>192</v>
      </c>
      <c r="AC26" s="70">
        <v>6</v>
      </c>
      <c r="AD26" s="70">
        <v>241</v>
      </c>
      <c r="AE26" s="69">
        <v>300</v>
      </c>
      <c r="AF26" s="70">
        <v>12</v>
      </c>
      <c r="AG26" s="70">
        <v>12</v>
      </c>
      <c r="AH26" s="70">
        <v>13</v>
      </c>
      <c r="AI26" s="70">
        <f t="shared" si="4"/>
        <v>1</v>
      </c>
      <c r="AJ26" s="72">
        <v>1.5</v>
      </c>
      <c r="AK26" s="70">
        <v>40</v>
      </c>
      <c r="AL26" s="70">
        <v>2</v>
      </c>
      <c r="AM26" s="69">
        <v>40</v>
      </c>
      <c r="AN26" s="82">
        <v>20</v>
      </c>
      <c r="AO26" s="69">
        <v>30</v>
      </c>
      <c r="AP26" s="82">
        <v>15</v>
      </c>
      <c r="AQ26" s="69">
        <v>17.5</v>
      </c>
      <c r="AR26" s="69" t="s">
        <v>137</v>
      </c>
      <c r="AS26" s="69" t="s">
        <v>138</v>
      </c>
      <c r="AT26" s="140" t="s">
        <v>174</v>
      </c>
      <c r="AU26" s="143"/>
      <c r="AW26" s="73" t="s">
        <v>126</v>
      </c>
      <c r="AX26" s="64" t="s">
        <v>122</v>
      </c>
      <c r="AY26" s="64">
        <v>96</v>
      </c>
      <c r="AZ26" s="64">
        <v>228</v>
      </c>
      <c r="BA26" s="6">
        <v>22</v>
      </c>
      <c r="BB26" s="6">
        <v>241</v>
      </c>
      <c r="BC26" s="6">
        <v>300</v>
      </c>
      <c r="BD26" s="6">
        <v>22</v>
      </c>
      <c r="BE26" s="6">
        <v>22</v>
      </c>
      <c r="BF26" s="6">
        <v>18</v>
      </c>
      <c r="BG26" s="6">
        <f t="shared" si="5"/>
        <v>4</v>
      </c>
      <c r="BH26" s="6">
        <v>40</v>
      </c>
      <c r="BI26" s="6">
        <v>2</v>
      </c>
      <c r="BJ26" s="68">
        <v>2</v>
      </c>
      <c r="BK26" s="64">
        <v>45</v>
      </c>
      <c r="BL26" s="77">
        <v>22</v>
      </c>
      <c r="BM26" s="64">
        <v>25</v>
      </c>
      <c r="BN26" s="77">
        <v>12</v>
      </c>
      <c r="BO26" s="64" t="s">
        <v>137</v>
      </c>
      <c r="BP26" s="64" t="s">
        <v>138</v>
      </c>
      <c r="BQ26" s="65" t="s">
        <v>174</v>
      </c>
    </row>
    <row r="27" spans="1:74" ht="78.75">
      <c r="AA27" s="61"/>
      <c r="AB27" s="61"/>
      <c r="AN27" s="61"/>
      <c r="AO27" s="61"/>
      <c r="AP27" s="61"/>
      <c r="AQ27" s="61"/>
      <c r="AR27" s="61"/>
      <c r="AS27" s="61"/>
      <c r="AT27" s="61"/>
      <c r="AU27" s="143"/>
      <c r="AW27" s="73" t="s">
        <v>126</v>
      </c>
      <c r="AX27" s="64" t="s">
        <v>122</v>
      </c>
      <c r="AY27" s="64">
        <v>96</v>
      </c>
      <c r="AZ27" s="64">
        <v>228</v>
      </c>
      <c r="BA27" s="6">
        <v>21</v>
      </c>
      <c r="BB27" s="6">
        <v>241</v>
      </c>
      <c r="BC27" s="6">
        <v>300</v>
      </c>
      <c r="BD27" s="6">
        <v>21</v>
      </c>
      <c r="BE27" s="6">
        <v>21</v>
      </c>
      <c r="BF27" s="6">
        <v>18</v>
      </c>
      <c r="BG27" s="6">
        <f t="shared" si="5"/>
        <v>3</v>
      </c>
      <c r="BH27" s="6">
        <v>40</v>
      </c>
      <c r="BI27" s="6">
        <v>2</v>
      </c>
      <c r="BJ27" s="68">
        <v>2</v>
      </c>
      <c r="BK27" s="64">
        <v>45</v>
      </c>
      <c r="BL27" s="77">
        <v>22</v>
      </c>
      <c r="BM27" s="64">
        <v>25</v>
      </c>
      <c r="BN27" s="77">
        <v>12</v>
      </c>
      <c r="BO27" s="64" t="s">
        <v>137</v>
      </c>
      <c r="BP27" s="64" t="s">
        <v>138</v>
      </c>
      <c r="BQ27" s="65" t="s">
        <v>174</v>
      </c>
    </row>
    <row r="28" spans="1:74" ht="78.75">
      <c r="AW28" s="73" t="s">
        <v>126</v>
      </c>
      <c r="AX28" s="64" t="s">
        <v>122</v>
      </c>
      <c r="AY28" s="64">
        <v>96</v>
      </c>
      <c r="AZ28" s="64">
        <v>228</v>
      </c>
      <c r="BA28" s="6">
        <v>20</v>
      </c>
      <c r="BB28" s="6">
        <v>241</v>
      </c>
      <c r="BC28" s="6">
        <v>300</v>
      </c>
      <c r="BD28" s="6">
        <v>20</v>
      </c>
      <c r="BE28" s="6">
        <v>20</v>
      </c>
      <c r="BF28" s="6">
        <v>18</v>
      </c>
      <c r="BG28" s="6">
        <f t="shared" si="5"/>
        <v>2</v>
      </c>
      <c r="BH28" s="6">
        <v>40</v>
      </c>
      <c r="BI28" s="6">
        <v>2</v>
      </c>
      <c r="BJ28" s="68">
        <v>2</v>
      </c>
      <c r="BK28" s="64">
        <v>45</v>
      </c>
      <c r="BL28" s="77">
        <v>22</v>
      </c>
      <c r="BM28" s="64">
        <v>25</v>
      </c>
      <c r="BN28" s="77">
        <v>12</v>
      </c>
      <c r="BO28" s="64" t="s">
        <v>137</v>
      </c>
      <c r="BP28" s="64" t="s">
        <v>138</v>
      </c>
      <c r="BQ28" s="65" t="s">
        <v>174</v>
      </c>
    </row>
    <row r="29" spans="1:74" ht="79.5" thickBot="1">
      <c r="AW29" s="73" t="s">
        <v>126</v>
      </c>
      <c r="AX29" s="64" t="s">
        <v>122</v>
      </c>
      <c r="AY29" s="64">
        <v>96</v>
      </c>
      <c r="AZ29" s="64">
        <v>228</v>
      </c>
      <c r="BA29" s="6">
        <v>19</v>
      </c>
      <c r="BB29" s="6">
        <v>241</v>
      </c>
      <c r="BC29" s="6">
        <v>300</v>
      </c>
      <c r="BD29" s="6">
        <v>19</v>
      </c>
      <c r="BE29" s="6">
        <v>19</v>
      </c>
      <c r="BF29" s="6">
        <v>18</v>
      </c>
      <c r="BG29" s="6">
        <f t="shared" si="5"/>
        <v>1</v>
      </c>
      <c r="BH29" s="6">
        <v>40</v>
      </c>
      <c r="BI29" s="6">
        <v>2</v>
      </c>
      <c r="BJ29" s="68">
        <v>2</v>
      </c>
      <c r="BK29" s="64">
        <v>45</v>
      </c>
      <c r="BL29" s="77">
        <v>22</v>
      </c>
      <c r="BM29" s="64">
        <v>25</v>
      </c>
      <c r="BN29" s="77">
        <v>12</v>
      </c>
      <c r="BO29" s="64" t="s">
        <v>137</v>
      </c>
      <c r="BP29" s="64" t="s">
        <v>138</v>
      </c>
      <c r="BQ29" s="65" t="s">
        <v>174</v>
      </c>
    </row>
    <row r="30" spans="1:74" ht="78.75">
      <c r="Y30" s="298" t="s">
        <v>175</v>
      </c>
      <c r="Z30" s="299"/>
      <c r="AA30" s="299"/>
      <c r="AB30" s="299"/>
      <c r="AC30" s="299"/>
      <c r="AD30" s="299"/>
      <c r="AE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303"/>
      <c r="AU30" s="149"/>
      <c r="AW30" s="73" t="s">
        <v>126</v>
      </c>
      <c r="AX30" s="64" t="s">
        <v>122</v>
      </c>
      <c r="AY30" s="64">
        <v>96</v>
      </c>
      <c r="AZ30" s="64">
        <v>228</v>
      </c>
      <c r="BA30" s="161">
        <v>18</v>
      </c>
      <c r="BB30" s="6">
        <v>241</v>
      </c>
      <c r="BC30" s="6">
        <v>300</v>
      </c>
      <c r="BD30" s="71">
        <v>18</v>
      </c>
      <c r="BE30" s="71">
        <v>18</v>
      </c>
      <c r="BF30" s="71">
        <v>18</v>
      </c>
      <c r="BG30" s="71">
        <f t="shared" si="5"/>
        <v>0</v>
      </c>
      <c r="BH30" s="6">
        <v>40</v>
      </c>
      <c r="BI30" s="6">
        <v>2</v>
      </c>
      <c r="BJ30" s="68">
        <v>2</v>
      </c>
      <c r="BK30" s="64">
        <v>45</v>
      </c>
      <c r="BL30" s="77">
        <v>22</v>
      </c>
      <c r="BM30" s="64">
        <v>25</v>
      </c>
      <c r="BN30" s="77">
        <v>12</v>
      </c>
      <c r="BO30" s="64" t="s">
        <v>137</v>
      </c>
      <c r="BP30" s="64" t="s">
        <v>138</v>
      </c>
      <c r="BQ30" s="65" t="s">
        <v>174</v>
      </c>
    </row>
    <row r="31" spans="1:74" ht="94.5">
      <c r="Y31" s="63" t="s">
        <v>115</v>
      </c>
      <c r="Z31" s="64" t="s">
        <v>100</v>
      </c>
      <c r="AA31" s="64" t="s">
        <v>200</v>
      </c>
      <c r="AB31" s="64" t="s">
        <v>201</v>
      </c>
      <c r="AC31" s="37" t="s">
        <v>101</v>
      </c>
      <c r="AD31" s="37" t="s">
        <v>204</v>
      </c>
      <c r="AE31" s="37" t="s">
        <v>205</v>
      </c>
      <c r="AF31" s="37" t="s">
        <v>208</v>
      </c>
      <c r="AG31" s="37" t="s">
        <v>209</v>
      </c>
      <c r="AH31" s="37" t="s">
        <v>106</v>
      </c>
      <c r="AI31" s="37" t="s">
        <v>179</v>
      </c>
      <c r="AJ31" s="37" t="s">
        <v>110</v>
      </c>
      <c r="AK31" s="37" t="s">
        <v>108</v>
      </c>
      <c r="AL31" s="37" t="s">
        <v>116</v>
      </c>
      <c r="AM31" s="64" t="s">
        <v>111</v>
      </c>
      <c r="AN31" s="64" t="s">
        <v>112</v>
      </c>
      <c r="AO31" s="64" t="s">
        <v>113</v>
      </c>
      <c r="AP31" s="64" t="s">
        <v>114</v>
      </c>
      <c r="AQ31" s="75" t="s">
        <v>131</v>
      </c>
      <c r="AR31" s="75" t="s">
        <v>132</v>
      </c>
      <c r="AS31" s="75" t="s">
        <v>133</v>
      </c>
      <c r="AT31" s="139" t="s">
        <v>173</v>
      </c>
      <c r="AU31" s="60"/>
      <c r="AW31" s="73" t="s">
        <v>126</v>
      </c>
      <c r="AX31" s="64" t="s">
        <v>122</v>
      </c>
      <c r="AY31" s="64">
        <v>96</v>
      </c>
      <c r="AZ31" s="64">
        <v>228</v>
      </c>
      <c r="BA31" s="161">
        <v>17</v>
      </c>
      <c r="BB31" s="6">
        <v>241</v>
      </c>
      <c r="BC31" s="6">
        <v>300</v>
      </c>
      <c r="BD31" s="71">
        <v>17</v>
      </c>
      <c r="BE31" s="71">
        <v>17</v>
      </c>
      <c r="BF31" s="71">
        <v>18</v>
      </c>
      <c r="BG31" s="71">
        <f t="shared" si="5"/>
        <v>-1</v>
      </c>
      <c r="BH31" s="6">
        <v>40</v>
      </c>
      <c r="BI31" s="6">
        <v>2</v>
      </c>
      <c r="BJ31" s="68">
        <v>2</v>
      </c>
      <c r="BK31" s="64">
        <v>45</v>
      </c>
      <c r="BL31" s="77">
        <v>22</v>
      </c>
      <c r="BM31" s="64">
        <v>25</v>
      </c>
      <c r="BN31" s="77">
        <v>12</v>
      </c>
      <c r="BO31" s="64" t="s">
        <v>137</v>
      </c>
      <c r="BP31" s="64" t="s">
        <v>138</v>
      </c>
      <c r="BQ31" s="65" t="s">
        <v>174</v>
      </c>
    </row>
    <row r="32" spans="1:74" ht="78.75">
      <c r="Y32" s="63" t="s">
        <v>127</v>
      </c>
      <c r="Z32" s="64" t="s">
        <v>122</v>
      </c>
      <c r="AA32" s="64">
        <v>60</v>
      </c>
      <c r="AB32" s="64">
        <v>192</v>
      </c>
      <c r="AC32" s="6">
        <v>15</v>
      </c>
      <c r="AD32" s="6">
        <v>60</v>
      </c>
      <c r="AE32" s="64">
        <v>120</v>
      </c>
      <c r="AF32" s="6">
        <v>4</v>
      </c>
      <c r="AG32" s="6">
        <v>4</v>
      </c>
      <c r="AH32" s="6">
        <v>17</v>
      </c>
      <c r="AI32" s="6">
        <f>AH32-AG32</f>
        <v>13</v>
      </c>
      <c r="AJ32" s="68">
        <v>1</v>
      </c>
      <c r="AK32" s="6">
        <v>25</v>
      </c>
      <c r="AL32" s="6">
        <v>1.5</v>
      </c>
      <c r="AM32" s="64">
        <v>25</v>
      </c>
      <c r="AN32" s="64">
        <v>12</v>
      </c>
      <c r="AO32" s="64">
        <v>20</v>
      </c>
      <c r="AP32" s="64">
        <v>10</v>
      </c>
      <c r="AQ32" s="64">
        <v>17.5</v>
      </c>
      <c r="AR32" s="64" t="s">
        <v>137</v>
      </c>
      <c r="AS32" s="64" t="s">
        <v>138</v>
      </c>
      <c r="AT32" s="65" t="s">
        <v>174</v>
      </c>
      <c r="AU32" s="74"/>
      <c r="AW32" s="73" t="s">
        <v>126</v>
      </c>
      <c r="AX32" s="64" t="s">
        <v>122</v>
      </c>
      <c r="AY32" s="64">
        <v>96</v>
      </c>
      <c r="AZ32" s="64">
        <v>228</v>
      </c>
      <c r="BA32" s="161">
        <v>16</v>
      </c>
      <c r="BB32" s="6">
        <v>241</v>
      </c>
      <c r="BC32" s="6">
        <v>300</v>
      </c>
      <c r="BD32" s="71">
        <v>16</v>
      </c>
      <c r="BE32" s="71">
        <v>16</v>
      </c>
      <c r="BF32" s="71">
        <v>18</v>
      </c>
      <c r="BG32" s="71">
        <f t="shared" si="5"/>
        <v>-2</v>
      </c>
      <c r="BH32" s="6">
        <v>40</v>
      </c>
      <c r="BI32" s="6">
        <v>2</v>
      </c>
      <c r="BJ32" s="68">
        <v>2</v>
      </c>
      <c r="BK32" s="64">
        <v>45</v>
      </c>
      <c r="BL32" s="77">
        <v>22</v>
      </c>
      <c r="BM32" s="64">
        <v>25</v>
      </c>
      <c r="BN32" s="77">
        <v>12</v>
      </c>
      <c r="BO32" s="64" t="s">
        <v>137</v>
      </c>
      <c r="BP32" s="64" t="s">
        <v>138</v>
      </c>
      <c r="BQ32" s="65" t="s">
        <v>174</v>
      </c>
    </row>
    <row r="33" spans="25:69" ht="78.75">
      <c r="Y33" s="63" t="s">
        <v>127</v>
      </c>
      <c r="Z33" s="64" t="s">
        <v>122</v>
      </c>
      <c r="AA33" s="64">
        <v>60</v>
      </c>
      <c r="AB33" s="64">
        <v>192</v>
      </c>
      <c r="AC33" s="6">
        <v>14</v>
      </c>
      <c r="AD33" s="6">
        <v>121</v>
      </c>
      <c r="AE33" s="64">
        <v>180</v>
      </c>
      <c r="AF33" s="6">
        <v>5</v>
      </c>
      <c r="AG33" s="6">
        <v>5</v>
      </c>
      <c r="AH33" s="6">
        <v>17</v>
      </c>
      <c r="AI33" s="6">
        <f t="shared" ref="AI33:AI41" si="6">AH33-AG33</f>
        <v>12</v>
      </c>
      <c r="AJ33" s="68">
        <v>1.5</v>
      </c>
      <c r="AK33" s="6">
        <v>30</v>
      </c>
      <c r="AL33" s="6">
        <v>1.5</v>
      </c>
      <c r="AM33" s="64">
        <v>30</v>
      </c>
      <c r="AN33" s="77">
        <v>15</v>
      </c>
      <c r="AO33" s="64">
        <v>25</v>
      </c>
      <c r="AP33" s="77">
        <v>12</v>
      </c>
      <c r="AQ33" s="64">
        <v>17.5</v>
      </c>
      <c r="AR33" s="64" t="s">
        <v>137</v>
      </c>
      <c r="AS33" s="64" t="s">
        <v>138</v>
      </c>
      <c r="AT33" s="65" t="s">
        <v>174</v>
      </c>
      <c r="AU33" s="60"/>
      <c r="AW33" s="73" t="s">
        <v>126</v>
      </c>
      <c r="AX33" s="64" t="s">
        <v>122</v>
      </c>
      <c r="AY33" s="64">
        <v>96</v>
      </c>
      <c r="AZ33" s="64">
        <v>228</v>
      </c>
      <c r="BA33" s="161">
        <v>15</v>
      </c>
      <c r="BB33" s="6">
        <v>241</v>
      </c>
      <c r="BC33" s="6">
        <v>300</v>
      </c>
      <c r="BD33" s="71">
        <v>15</v>
      </c>
      <c r="BE33" s="71">
        <v>15</v>
      </c>
      <c r="BF33" s="71">
        <v>18</v>
      </c>
      <c r="BG33" s="71">
        <f t="shared" si="5"/>
        <v>-3</v>
      </c>
      <c r="BH33" s="6">
        <v>40</v>
      </c>
      <c r="BI33" s="6">
        <v>2</v>
      </c>
      <c r="BJ33" s="68">
        <v>2</v>
      </c>
      <c r="BK33" s="64">
        <v>45</v>
      </c>
      <c r="BL33" s="77">
        <v>22</v>
      </c>
      <c r="BM33" s="64">
        <v>25</v>
      </c>
      <c r="BN33" s="77">
        <v>12</v>
      </c>
      <c r="BO33" s="64" t="s">
        <v>137</v>
      </c>
      <c r="BP33" s="64" t="s">
        <v>138</v>
      </c>
      <c r="BQ33" s="65" t="s">
        <v>174</v>
      </c>
    </row>
    <row r="34" spans="25:69" ht="78.75">
      <c r="Y34" s="63" t="s">
        <v>127</v>
      </c>
      <c r="Z34" s="64" t="s">
        <v>122</v>
      </c>
      <c r="AA34" s="64">
        <v>60</v>
      </c>
      <c r="AB34" s="64">
        <v>192</v>
      </c>
      <c r="AC34" s="6">
        <v>13</v>
      </c>
      <c r="AD34" s="6">
        <v>181</v>
      </c>
      <c r="AE34" s="64">
        <v>240</v>
      </c>
      <c r="AF34" s="6">
        <v>6</v>
      </c>
      <c r="AG34" s="6">
        <v>6</v>
      </c>
      <c r="AH34" s="6">
        <v>17</v>
      </c>
      <c r="AI34" s="6">
        <f t="shared" si="6"/>
        <v>11</v>
      </c>
      <c r="AJ34" s="68">
        <v>1.5</v>
      </c>
      <c r="AK34" s="6">
        <v>40</v>
      </c>
      <c r="AL34" s="6">
        <v>2</v>
      </c>
      <c r="AM34" s="64">
        <v>40</v>
      </c>
      <c r="AN34" s="77">
        <v>20</v>
      </c>
      <c r="AO34" s="64">
        <v>30</v>
      </c>
      <c r="AP34" s="77">
        <v>15</v>
      </c>
      <c r="AQ34" s="64">
        <v>17.5</v>
      </c>
      <c r="AR34" s="64" t="s">
        <v>137</v>
      </c>
      <c r="AS34" s="64" t="s">
        <v>138</v>
      </c>
      <c r="AT34" s="65" t="s">
        <v>174</v>
      </c>
      <c r="AU34" s="143"/>
      <c r="AW34" s="73" t="s">
        <v>126</v>
      </c>
      <c r="AX34" s="64" t="s">
        <v>122</v>
      </c>
      <c r="AY34" s="64">
        <v>96</v>
      </c>
      <c r="AZ34" s="64">
        <v>228</v>
      </c>
      <c r="BA34" s="161">
        <v>14</v>
      </c>
      <c r="BB34" s="6">
        <v>241</v>
      </c>
      <c r="BC34" s="6">
        <v>300</v>
      </c>
      <c r="BD34" s="71">
        <v>14</v>
      </c>
      <c r="BE34" s="71">
        <v>14</v>
      </c>
      <c r="BF34" s="71">
        <v>18</v>
      </c>
      <c r="BG34" s="71">
        <f t="shared" si="5"/>
        <v>-4</v>
      </c>
      <c r="BH34" s="6">
        <v>40</v>
      </c>
      <c r="BI34" s="6">
        <v>2</v>
      </c>
      <c r="BJ34" s="68">
        <v>2</v>
      </c>
      <c r="BK34" s="64">
        <v>45</v>
      </c>
      <c r="BL34" s="77">
        <v>22</v>
      </c>
      <c r="BM34" s="64">
        <v>25</v>
      </c>
      <c r="BN34" s="77">
        <v>12</v>
      </c>
      <c r="BO34" s="64" t="s">
        <v>137</v>
      </c>
      <c r="BP34" s="64" t="s">
        <v>138</v>
      </c>
      <c r="BQ34" s="65" t="s">
        <v>174</v>
      </c>
    </row>
    <row r="35" spans="25:69" ht="78.75">
      <c r="Y35" s="63" t="s">
        <v>127</v>
      </c>
      <c r="Z35" s="64" t="s">
        <v>122</v>
      </c>
      <c r="AA35" s="64">
        <v>60</v>
      </c>
      <c r="AB35" s="64">
        <v>192</v>
      </c>
      <c r="AC35" s="6">
        <v>12</v>
      </c>
      <c r="AD35" s="6">
        <v>241</v>
      </c>
      <c r="AE35" s="64">
        <v>300</v>
      </c>
      <c r="AF35" s="6">
        <v>7</v>
      </c>
      <c r="AG35" s="6">
        <v>7</v>
      </c>
      <c r="AH35" s="6">
        <v>17</v>
      </c>
      <c r="AI35" s="6">
        <f t="shared" si="6"/>
        <v>10</v>
      </c>
      <c r="AJ35" s="68">
        <v>1.5</v>
      </c>
      <c r="AK35" s="6">
        <v>40</v>
      </c>
      <c r="AL35" s="6">
        <v>2</v>
      </c>
      <c r="AM35" s="64">
        <v>40</v>
      </c>
      <c r="AN35" s="77">
        <v>20</v>
      </c>
      <c r="AO35" s="64">
        <v>30</v>
      </c>
      <c r="AP35" s="77">
        <v>15</v>
      </c>
      <c r="AQ35" s="64">
        <v>17.5</v>
      </c>
      <c r="AR35" s="64" t="s">
        <v>137</v>
      </c>
      <c r="AS35" s="64" t="s">
        <v>138</v>
      </c>
      <c r="AT35" s="65" t="s">
        <v>174</v>
      </c>
      <c r="AU35" s="143"/>
      <c r="AW35" s="73" t="s">
        <v>126</v>
      </c>
      <c r="AX35" s="64" t="s">
        <v>122</v>
      </c>
      <c r="AY35" s="64">
        <v>96</v>
      </c>
      <c r="AZ35" s="64">
        <v>228</v>
      </c>
      <c r="BA35" s="161">
        <v>13</v>
      </c>
      <c r="BB35" s="6">
        <v>241</v>
      </c>
      <c r="BC35" s="6">
        <v>300</v>
      </c>
      <c r="BD35" s="71">
        <v>13</v>
      </c>
      <c r="BE35" s="71">
        <v>13</v>
      </c>
      <c r="BF35" s="71">
        <v>18</v>
      </c>
      <c r="BG35" s="71">
        <f t="shared" si="5"/>
        <v>-5</v>
      </c>
      <c r="BH35" s="6">
        <v>40</v>
      </c>
      <c r="BI35" s="6">
        <v>2</v>
      </c>
      <c r="BJ35" s="68">
        <v>2</v>
      </c>
      <c r="BK35" s="64">
        <v>45</v>
      </c>
      <c r="BL35" s="77">
        <v>22</v>
      </c>
      <c r="BM35" s="64">
        <v>25</v>
      </c>
      <c r="BN35" s="77">
        <v>12</v>
      </c>
      <c r="BO35" s="64" t="s">
        <v>137</v>
      </c>
      <c r="BP35" s="64" t="s">
        <v>138</v>
      </c>
      <c r="BQ35" s="65" t="s">
        <v>174</v>
      </c>
    </row>
    <row r="36" spans="25:69" ht="78.75">
      <c r="Y36" s="63" t="s">
        <v>127</v>
      </c>
      <c r="Z36" s="64" t="s">
        <v>122</v>
      </c>
      <c r="AA36" s="64">
        <v>60</v>
      </c>
      <c r="AB36" s="64">
        <v>192</v>
      </c>
      <c r="AC36" s="6">
        <v>11</v>
      </c>
      <c r="AD36" s="6">
        <v>241</v>
      </c>
      <c r="AE36" s="64">
        <v>300</v>
      </c>
      <c r="AF36" s="6">
        <v>8</v>
      </c>
      <c r="AG36" s="6">
        <v>8</v>
      </c>
      <c r="AH36" s="6">
        <v>17</v>
      </c>
      <c r="AI36" s="6">
        <f t="shared" si="6"/>
        <v>9</v>
      </c>
      <c r="AJ36" s="68">
        <v>1.5</v>
      </c>
      <c r="AK36" s="6">
        <v>40</v>
      </c>
      <c r="AL36" s="6">
        <v>2</v>
      </c>
      <c r="AM36" s="64">
        <v>40</v>
      </c>
      <c r="AN36" s="77">
        <v>20</v>
      </c>
      <c r="AO36" s="64">
        <v>30</v>
      </c>
      <c r="AP36" s="77">
        <v>15</v>
      </c>
      <c r="AQ36" s="64">
        <v>17.5</v>
      </c>
      <c r="AR36" s="64" t="s">
        <v>137</v>
      </c>
      <c r="AS36" s="64" t="s">
        <v>138</v>
      </c>
      <c r="AT36" s="65" t="s">
        <v>174</v>
      </c>
      <c r="AU36" s="143"/>
      <c r="AW36" s="73" t="s">
        <v>126</v>
      </c>
      <c r="AX36" s="64" t="s">
        <v>122</v>
      </c>
      <c r="AY36" s="64">
        <v>96</v>
      </c>
      <c r="AZ36" s="64">
        <v>228</v>
      </c>
      <c r="BA36" s="161">
        <v>12</v>
      </c>
      <c r="BB36" s="6">
        <v>241</v>
      </c>
      <c r="BC36" s="6">
        <v>300</v>
      </c>
      <c r="BD36" s="71">
        <v>12</v>
      </c>
      <c r="BE36" s="71">
        <v>12</v>
      </c>
      <c r="BF36" s="71">
        <v>18</v>
      </c>
      <c r="BG36" s="71">
        <f t="shared" si="5"/>
        <v>-6</v>
      </c>
      <c r="BH36" s="6">
        <v>40</v>
      </c>
      <c r="BI36" s="6">
        <v>2</v>
      </c>
      <c r="BJ36" s="68">
        <v>2</v>
      </c>
      <c r="BK36" s="64">
        <v>45</v>
      </c>
      <c r="BL36" s="77">
        <v>22</v>
      </c>
      <c r="BM36" s="64">
        <v>25</v>
      </c>
      <c r="BN36" s="77">
        <v>12</v>
      </c>
      <c r="BO36" s="64" t="s">
        <v>137</v>
      </c>
      <c r="BP36" s="64" t="s">
        <v>138</v>
      </c>
      <c r="BQ36" s="65" t="s">
        <v>174</v>
      </c>
    </row>
    <row r="37" spans="25:69" ht="78.75">
      <c r="Y37" s="63" t="s">
        <v>127</v>
      </c>
      <c r="Z37" s="64" t="s">
        <v>122</v>
      </c>
      <c r="AA37" s="64">
        <v>60</v>
      </c>
      <c r="AB37" s="64">
        <v>192</v>
      </c>
      <c r="AC37" s="6">
        <v>10</v>
      </c>
      <c r="AD37" s="6">
        <v>241</v>
      </c>
      <c r="AE37" s="64">
        <v>300</v>
      </c>
      <c r="AF37" s="6">
        <v>9</v>
      </c>
      <c r="AG37" s="6">
        <v>9</v>
      </c>
      <c r="AH37" s="6">
        <v>17</v>
      </c>
      <c r="AI37" s="6">
        <f t="shared" si="6"/>
        <v>8</v>
      </c>
      <c r="AJ37" s="68">
        <v>1.5</v>
      </c>
      <c r="AK37" s="6">
        <v>40</v>
      </c>
      <c r="AL37" s="6">
        <v>2</v>
      </c>
      <c r="AM37" s="64">
        <v>40</v>
      </c>
      <c r="AN37" s="77">
        <v>20</v>
      </c>
      <c r="AO37" s="64">
        <v>30</v>
      </c>
      <c r="AP37" s="77">
        <v>15</v>
      </c>
      <c r="AQ37" s="64">
        <v>17.5</v>
      </c>
      <c r="AR37" s="64" t="s">
        <v>137</v>
      </c>
      <c r="AS37" s="64" t="s">
        <v>138</v>
      </c>
      <c r="AT37" s="65" t="s">
        <v>174</v>
      </c>
      <c r="AU37" s="143"/>
      <c r="AW37" s="73" t="s">
        <v>126</v>
      </c>
      <c r="AX37" s="64" t="s">
        <v>122</v>
      </c>
      <c r="AY37" s="64">
        <v>96</v>
      </c>
      <c r="AZ37" s="64">
        <v>228</v>
      </c>
      <c r="BA37" s="161">
        <v>11</v>
      </c>
      <c r="BB37" s="6">
        <v>241</v>
      </c>
      <c r="BC37" s="6">
        <v>300</v>
      </c>
      <c r="BD37" s="71">
        <v>11</v>
      </c>
      <c r="BE37" s="71">
        <v>11</v>
      </c>
      <c r="BF37" s="71">
        <v>18</v>
      </c>
      <c r="BG37" s="71">
        <f t="shared" si="5"/>
        <v>-7</v>
      </c>
      <c r="BH37" s="6">
        <v>40</v>
      </c>
      <c r="BI37" s="6">
        <v>2</v>
      </c>
      <c r="BJ37" s="68">
        <v>2</v>
      </c>
      <c r="BK37" s="64">
        <v>45</v>
      </c>
      <c r="BL37" s="77">
        <v>22</v>
      </c>
      <c r="BM37" s="64">
        <v>25</v>
      </c>
      <c r="BN37" s="77">
        <v>12</v>
      </c>
      <c r="BO37" s="64" t="s">
        <v>137</v>
      </c>
      <c r="BP37" s="64" t="s">
        <v>138</v>
      </c>
      <c r="BQ37" s="65" t="s">
        <v>174</v>
      </c>
    </row>
    <row r="38" spans="25:69" ht="79.5" thickBot="1">
      <c r="Y38" s="63" t="s">
        <v>127</v>
      </c>
      <c r="Z38" s="64" t="s">
        <v>122</v>
      </c>
      <c r="AA38" s="64">
        <v>60</v>
      </c>
      <c r="AB38" s="64">
        <v>192</v>
      </c>
      <c r="AC38" s="6">
        <v>9</v>
      </c>
      <c r="AD38" s="6">
        <v>241</v>
      </c>
      <c r="AE38" s="64">
        <v>300</v>
      </c>
      <c r="AF38" s="6">
        <v>10</v>
      </c>
      <c r="AG38" s="6">
        <v>10</v>
      </c>
      <c r="AH38" s="6">
        <v>17</v>
      </c>
      <c r="AI38" s="6">
        <f t="shared" si="6"/>
        <v>7</v>
      </c>
      <c r="AJ38" s="68">
        <v>1.5</v>
      </c>
      <c r="AK38" s="6">
        <v>40</v>
      </c>
      <c r="AL38" s="6">
        <v>2</v>
      </c>
      <c r="AM38" s="64">
        <v>40</v>
      </c>
      <c r="AN38" s="77">
        <v>20</v>
      </c>
      <c r="AO38" s="64">
        <v>30</v>
      </c>
      <c r="AP38" s="77">
        <v>15</v>
      </c>
      <c r="AQ38" s="64">
        <v>17.5</v>
      </c>
      <c r="AR38" s="64" t="s">
        <v>137</v>
      </c>
      <c r="AS38" s="64" t="s">
        <v>138</v>
      </c>
      <c r="AT38" s="65" t="s">
        <v>174</v>
      </c>
      <c r="AU38" s="143"/>
      <c r="AW38" s="83" t="s">
        <v>126</v>
      </c>
      <c r="AX38" s="69" t="s">
        <v>122</v>
      </c>
      <c r="AY38" s="69">
        <v>96</v>
      </c>
      <c r="AZ38" s="69">
        <v>228</v>
      </c>
      <c r="BA38" s="162">
        <v>10</v>
      </c>
      <c r="BB38" s="70">
        <v>241</v>
      </c>
      <c r="BC38" s="70">
        <v>300</v>
      </c>
      <c r="BD38" s="80">
        <v>10</v>
      </c>
      <c r="BE38" s="80">
        <v>10</v>
      </c>
      <c r="BF38" s="80">
        <v>18</v>
      </c>
      <c r="BG38" s="71">
        <f t="shared" si="5"/>
        <v>-8</v>
      </c>
      <c r="BH38" s="70">
        <v>40</v>
      </c>
      <c r="BI38" s="70">
        <v>2</v>
      </c>
      <c r="BJ38" s="72">
        <v>2</v>
      </c>
      <c r="BK38" s="69">
        <v>45</v>
      </c>
      <c r="BL38" s="82">
        <v>22</v>
      </c>
      <c r="BM38" s="69">
        <v>25</v>
      </c>
      <c r="BN38" s="82">
        <v>12</v>
      </c>
      <c r="BO38" s="69" t="s">
        <v>137</v>
      </c>
      <c r="BP38" s="69" t="s">
        <v>138</v>
      </c>
      <c r="BQ38" s="140" t="s">
        <v>174</v>
      </c>
    </row>
    <row r="39" spans="25:69" ht="78.75">
      <c r="Y39" s="63" t="s">
        <v>127</v>
      </c>
      <c r="Z39" s="64" t="s">
        <v>122</v>
      </c>
      <c r="AA39" s="64">
        <v>60</v>
      </c>
      <c r="AB39" s="64">
        <v>192</v>
      </c>
      <c r="AC39" s="6">
        <v>8</v>
      </c>
      <c r="AD39" s="6">
        <v>241</v>
      </c>
      <c r="AE39" s="64">
        <v>300</v>
      </c>
      <c r="AF39" s="6">
        <v>11</v>
      </c>
      <c r="AG39" s="6">
        <v>11</v>
      </c>
      <c r="AH39" s="6">
        <v>17</v>
      </c>
      <c r="AI39" s="6">
        <f t="shared" si="6"/>
        <v>6</v>
      </c>
      <c r="AJ39" s="68">
        <v>1.5</v>
      </c>
      <c r="AK39" s="6">
        <v>40</v>
      </c>
      <c r="AL39" s="6">
        <v>2</v>
      </c>
      <c r="AM39" s="64">
        <v>40</v>
      </c>
      <c r="AN39" s="77">
        <v>20</v>
      </c>
      <c r="AO39" s="64">
        <v>30</v>
      </c>
      <c r="AP39" s="77">
        <v>15</v>
      </c>
      <c r="AQ39" s="64">
        <v>17.5</v>
      </c>
      <c r="AR39" s="64" t="s">
        <v>137</v>
      </c>
      <c r="AS39" s="64" t="s">
        <v>138</v>
      </c>
      <c r="AT39" s="65" t="s">
        <v>174</v>
      </c>
      <c r="AU39" s="143"/>
    </row>
    <row r="40" spans="25:69" ht="78.75">
      <c r="Y40" s="63" t="s">
        <v>127</v>
      </c>
      <c r="Z40" s="64" t="s">
        <v>122</v>
      </c>
      <c r="AA40" s="64">
        <v>60</v>
      </c>
      <c r="AB40" s="64">
        <v>192</v>
      </c>
      <c r="AC40" s="6">
        <v>7</v>
      </c>
      <c r="AD40" s="6">
        <v>241</v>
      </c>
      <c r="AE40" s="64">
        <v>300</v>
      </c>
      <c r="AF40" s="6">
        <v>12</v>
      </c>
      <c r="AG40" s="6">
        <v>12</v>
      </c>
      <c r="AH40" s="6">
        <v>17</v>
      </c>
      <c r="AI40" s="6">
        <f t="shared" si="6"/>
        <v>5</v>
      </c>
      <c r="AJ40" s="68">
        <v>1.5</v>
      </c>
      <c r="AK40" s="6">
        <v>40</v>
      </c>
      <c r="AL40" s="6">
        <v>2</v>
      </c>
      <c r="AM40" s="64">
        <v>40</v>
      </c>
      <c r="AN40" s="77">
        <v>20</v>
      </c>
      <c r="AO40" s="64">
        <v>30</v>
      </c>
      <c r="AP40" s="77">
        <v>15</v>
      </c>
      <c r="AQ40" s="64">
        <v>17.5</v>
      </c>
      <c r="AR40" s="64" t="s">
        <v>137</v>
      </c>
      <c r="AS40" s="64" t="s">
        <v>138</v>
      </c>
      <c r="AT40" s="65" t="s">
        <v>174</v>
      </c>
      <c r="AU40" s="143"/>
    </row>
    <row r="41" spans="25:69" ht="79.5" thickBot="1">
      <c r="Y41" s="79" t="s">
        <v>127</v>
      </c>
      <c r="Z41" s="69" t="s">
        <v>122</v>
      </c>
      <c r="AA41" s="69">
        <v>60</v>
      </c>
      <c r="AB41" s="69">
        <v>192</v>
      </c>
      <c r="AC41" s="70">
        <v>6</v>
      </c>
      <c r="AD41" s="70">
        <v>241</v>
      </c>
      <c r="AE41" s="69">
        <v>300</v>
      </c>
      <c r="AF41" s="70">
        <v>13</v>
      </c>
      <c r="AG41" s="70">
        <v>13</v>
      </c>
      <c r="AH41" s="70">
        <v>17</v>
      </c>
      <c r="AI41" s="70">
        <f t="shared" si="6"/>
        <v>4</v>
      </c>
      <c r="AJ41" s="72">
        <v>1.5</v>
      </c>
      <c r="AK41" s="70">
        <v>40</v>
      </c>
      <c r="AL41" s="70">
        <v>2</v>
      </c>
      <c r="AM41" s="69">
        <v>40</v>
      </c>
      <c r="AN41" s="82">
        <v>20</v>
      </c>
      <c r="AO41" s="69">
        <v>30</v>
      </c>
      <c r="AP41" s="82">
        <v>15</v>
      </c>
      <c r="AQ41" s="69">
        <v>17.5</v>
      </c>
      <c r="AR41" s="69" t="s">
        <v>137</v>
      </c>
      <c r="AS41" s="69" t="s">
        <v>138</v>
      </c>
      <c r="AT41" s="140" t="s">
        <v>174</v>
      </c>
      <c r="AU41" s="143"/>
    </row>
    <row r="42" spans="25:69">
      <c r="AC42" s="143"/>
      <c r="AD42" s="147"/>
      <c r="AE42" s="147"/>
      <c r="AF42" s="143"/>
      <c r="AG42" s="143"/>
      <c r="AH42" s="143"/>
      <c r="AI42" s="143"/>
      <c r="AJ42" s="147"/>
      <c r="AU42" s="143"/>
    </row>
    <row r="43" spans="25:69">
      <c r="AC43" s="143"/>
      <c r="AD43" s="147"/>
      <c r="AE43" s="147"/>
      <c r="AF43" s="143"/>
      <c r="AG43" s="143"/>
      <c r="AH43" s="143"/>
      <c r="AI43" s="143"/>
      <c r="AJ43" s="147"/>
    </row>
    <row r="44" spans="25:69">
      <c r="AC44" s="143"/>
      <c r="AD44" s="147"/>
      <c r="AE44" s="147"/>
      <c r="AF44" s="143"/>
      <c r="AG44" s="143"/>
      <c r="AH44" s="143"/>
      <c r="AI44" s="143"/>
      <c r="AJ44" s="147"/>
      <c r="BF44" s="60"/>
      <c r="BJ44" s="60"/>
    </row>
    <row r="45" spans="25:69">
      <c r="AC45" s="143"/>
      <c r="AD45" s="147"/>
      <c r="AE45" s="147"/>
      <c r="AF45" s="143"/>
      <c r="AG45" s="143"/>
      <c r="AH45" s="147"/>
      <c r="AI45" s="147"/>
      <c r="AJ45" s="147"/>
    </row>
    <row r="46" spans="25:69">
      <c r="AC46" s="147"/>
      <c r="AD46" s="147"/>
      <c r="AE46" s="147"/>
      <c r="AF46" s="147"/>
      <c r="AG46" s="147"/>
      <c r="AH46" s="147"/>
      <c r="AI46" s="147"/>
      <c r="AJ46" s="147"/>
    </row>
  </sheetData>
  <mergeCells count="7">
    <mergeCell ref="AW2:BQ2"/>
    <mergeCell ref="A12:V12"/>
    <mergeCell ref="Y30:AT30"/>
    <mergeCell ref="Y15:AT15"/>
    <mergeCell ref="Y2:AT2"/>
    <mergeCell ref="A2:V2"/>
    <mergeCell ref="AW21:BQ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"/>
  <sheetViews>
    <sheetView workbookViewId="0">
      <selection activeCell="B4" sqref="B4"/>
    </sheetView>
  </sheetViews>
  <sheetFormatPr defaultColWidth="10.875" defaultRowHeight="15.75"/>
  <cols>
    <col min="1" max="5" width="10.875" style="61"/>
    <col min="6" max="16384" width="10.875" style="62"/>
  </cols>
  <sheetData>
    <row r="1" spans="1:9">
      <c r="A1" s="307" t="s">
        <v>157</v>
      </c>
      <c r="B1" s="307"/>
      <c r="C1" s="307"/>
      <c r="D1" s="307"/>
      <c r="F1" s="307" t="s">
        <v>169</v>
      </c>
      <c r="G1" s="307"/>
      <c r="H1" s="307"/>
      <c r="I1" s="307"/>
    </row>
    <row r="2" spans="1:9" ht="47.25">
      <c r="A2" s="61" t="s">
        <v>155</v>
      </c>
      <c r="B2" s="61" t="s">
        <v>156</v>
      </c>
      <c r="C2" s="61" t="s">
        <v>87</v>
      </c>
      <c r="D2" s="61" t="s">
        <v>90</v>
      </c>
      <c r="F2" s="61" t="s">
        <v>171</v>
      </c>
      <c r="G2" s="61" t="s">
        <v>170</v>
      </c>
      <c r="H2" s="61" t="s">
        <v>88</v>
      </c>
      <c r="I2" s="61" t="s">
        <v>91</v>
      </c>
    </row>
    <row r="4" spans="1:9">
      <c r="A4" s="61" t="s">
        <v>158</v>
      </c>
      <c r="B4" s="61" t="s">
        <v>162</v>
      </c>
      <c r="C4" s="61" t="s">
        <v>53</v>
      </c>
      <c r="D4" s="61">
        <v>25</v>
      </c>
      <c r="F4" s="61" t="s">
        <v>158</v>
      </c>
      <c r="G4" s="61" t="s">
        <v>162</v>
      </c>
      <c r="H4" s="62" t="s">
        <v>53</v>
      </c>
      <c r="I4" s="62">
        <v>10</v>
      </c>
    </row>
    <row r="5" spans="1:9">
      <c r="A5" s="61" t="s">
        <v>159</v>
      </c>
      <c r="B5" s="61" t="s">
        <v>163</v>
      </c>
      <c r="C5" s="61" t="s">
        <v>166</v>
      </c>
      <c r="D5" s="61">
        <v>30</v>
      </c>
      <c r="F5" s="61" t="s">
        <v>172</v>
      </c>
      <c r="G5" s="61" t="s">
        <v>163</v>
      </c>
      <c r="H5" s="61" t="s">
        <v>166</v>
      </c>
      <c r="I5" s="62">
        <v>15</v>
      </c>
    </row>
    <row r="6" spans="1:9">
      <c r="A6" s="61" t="s">
        <v>56</v>
      </c>
      <c r="B6" s="61" t="s">
        <v>57</v>
      </c>
      <c r="C6" s="61" t="s">
        <v>167</v>
      </c>
      <c r="D6" s="61">
        <v>35</v>
      </c>
    </row>
    <row r="7" spans="1:9">
      <c r="A7" s="61" t="s">
        <v>160</v>
      </c>
      <c r="B7" s="61" t="s">
        <v>74</v>
      </c>
      <c r="C7" s="61" t="s">
        <v>168</v>
      </c>
      <c r="D7" s="61">
        <v>40</v>
      </c>
    </row>
    <row r="8" spans="1:9">
      <c r="A8" s="61" t="s">
        <v>54</v>
      </c>
      <c r="B8" s="61" t="s">
        <v>55</v>
      </c>
      <c r="C8" s="61" t="s">
        <v>53</v>
      </c>
      <c r="D8" s="61">
        <v>25</v>
      </c>
    </row>
    <row r="9" spans="1:9">
      <c r="A9" s="61" t="s">
        <v>161</v>
      </c>
      <c r="B9" s="61" t="s">
        <v>164</v>
      </c>
      <c r="C9" s="61" t="s">
        <v>166</v>
      </c>
      <c r="D9" s="61">
        <v>30</v>
      </c>
    </row>
    <row r="10" spans="1:9">
      <c r="A10" s="61" t="s">
        <v>59</v>
      </c>
      <c r="B10" s="61" t="s">
        <v>165</v>
      </c>
      <c r="C10" s="61" t="s">
        <v>166</v>
      </c>
      <c r="D10" s="61">
        <v>30</v>
      </c>
    </row>
  </sheetData>
  <mergeCells count="2">
    <mergeCell ref="A1:D1"/>
    <mergeCell ref="F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S21"/>
  <sheetViews>
    <sheetView tabSelected="1" topLeftCell="A3" zoomScale="115" zoomScaleNormal="115" zoomScalePageLayoutView="150" workbookViewId="0">
      <selection activeCell="O6" sqref="O6"/>
    </sheetView>
  </sheetViews>
  <sheetFormatPr defaultColWidth="7.75" defaultRowHeight="15"/>
  <cols>
    <col min="1" max="1" width="5" style="248" bestFit="1" customWidth="1"/>
    <col min="2" max="2" width="4.125" style="248" bestFit="1" customWidth="1"/>
    <col min="3" max="3" width="3.125" style="248" bestFit="1" customWidth="1"/>
    <col min="4" max="4" width="2.625" style="248" bestFit="1" customWidth="1"/>
    <col min="5" max="5" width="3.125" style="248" bestFit="1" customWidth="1"/>
    <col min="6" max="9" width="2.625" style="248" bestFit="1" customWidth="1"/>
    <col min="10" max="10" width="3.625" style="248" bestFit="1" customWidth="1"/>
    <col min="11" max="12" width="5.125" style="249" bestFit="1" customWidth="1"/>
    <col min="13" max="13" width="7.875" style="248" bestFit="1" customWidth="1"/>
    <col min="14" max="14" width="3.375" style="248" bestFit="1" customWidth="1"/>
    <col min="15" max="15" width="4.375" style="248" customWidth="1"/>
    <col min="16" max="16" width="3.5" style="248" bestFit="1" customWidth="1"/>
    <col min="17" max="17" width="4.25" style="248" bestFit="1" customWidth="1"/>
    <col min="18" max="18" width="3.5" style="248" bestFit="1" customWidth="1"/>
    <col min="19" max="19" width="4.25" style="248" bestFit="1" customWidth="1"/>
    <col min="20" max="20" width="3.375" style="250" bestFit="1" customWidth="1"/>
    <col min="21" max="22" width="4.25" style="248" bestFit="1" customWidth="1"/>
    <col min="23" max="23" width="3.375" style="248" bestFit="1" customWidth="1"/>
    <col min="24" max="24" width="3.5" style="248" bestFit="1" customWidth="1"/>
    <col min="25" max="25" width="4.25" style="248" bestFit="1" customWidth="1"/>
    <col min="26" max="26" width="7.125" style="248" bestFit="1" customWidth="1"/>
    <col min="27" max="27" width="8.25" style="248" bestFit="1" customWidth="1"/>
    <col min="28" max="28" width="8.375" style="248" bestFit="1" customWidth="1"/>
    <col min="29" max="31" width="4.5" style="248" bestFit="1" customWidth="1"/>
    <col min="32" max="32" width="11.125" style="248" bestFit="1" customWidth="1"/>
    <col min="33" max="33" width="4.5" style="248" bestFit="1" customWidth="1"/>
    <col min="34" max="34" width="6.375" style="248" bestFit="1" customWidth="1"/>
    <col min="35" max="35" width="2.625" style="248" bestFit="1" customWidth="1"/>
    <col min="36" max="38" width="4.5" style="248" bestFit="1" customWidth="1"/>
    <col min="39" max="40" width="13.875" style="248" bestFit="1" customWidth="1"/>
    <col min="41" max="41" width="7.25" style="248" bestFit="1" customWidth="1"/>
    <col min="42" max="42" width="6.375" style="248" bestFit="1" customWidth="1"/>
    <col min="43" max="45" width="8.75" style="248" bestFit="1" customWidth="1"/>
    <col min="46" max="16384" width="7.75" style="248"/>
  </cols>
  <sheetData>
    <row r="1" spans="1:45">
      <c r="A1" s="308" t="s">
        <v>193</v>
      </c>
      <c r="B1" s="308"/>
      <c r="C1" s="308"/>
      <c r="H1" s="308" t="s">
        <v>194</v>
      </c>
      <c r="I1" s="308"/>
      <c r="J1" s="308"/>
    </row>
    <row r="2" spans="1:45" ht="15.75" thickBot="1">
      <c r="A2" s="309" t="s">
        <v>196</v>
      </c>
      <c r="B2" s="309"/>
      <c r="C2" s="309"/>
      <c r="H2" s="309" t="s">
        <v>195</v>
      </c>
      <c r="I2" s="309"/>
      <c r="J2" s="309"/>
    </row>
    <row r="3" spans="1:45" s="293" customFormat="1" ht="162" customHeight="1" thickBot="1">
      <c r="A3" s="281" t="s">
        <v>267</v>
      </c>
      <c r="B3" s="282" t="s">
        <v>268</v>
      </c>
      <c r="C3" s="283" t="s">
        <v>269</v>
      </c>
      <c r="D3" s="283" t="s">
        <v>8</v>
      </c>
      <c r="E3" s="282" t="s">
        <v>9</v>
      </c>
      <c r="F3" s="282" t="s">
        <v>10</v>
      </c>
      <c r="G3" s="282" t="s">
        <v>11</v>
      </c>
      <c r="H3" s="282" t="s">
        <v>270</v>
      </c>
      <c r="I3" s="282" t="s">
        <v>271</v>
      </c>
      <c r="J3" s="284" t="s">
        <v>272</v>
      </c>
      <c r="K3" s="285" t="s">
        <v>173</v>
      </c>
      <c r="L3" s="285" t="s">
        <v>29</v>
      </c>
      <c r="M3" s="286" t="s">
        <v>273</v>
      </c>
      <c r="N3" s="282" t="s">
        <v>31</v>
      </c>
      <c r="O3" s="286" t="s">
        <v>274</v>
      </c>
      <c r="P3" s="286" t="s">
        <v>13</v>
      </c>
      <c r="Q3" s="282" t="s">
        <v>32</v>
      </c>
      <c r="R3" s="282" t="s">
        <v>14</v>
      </c>
      <c r="S3" s="282" t="s">
        <v>15</v>
      </c>
      <c r="T3" s="287" t="s">
        <v>275</v>
      </c>
      <c r="U3" s="282" t="s">
        <v>33</v>
      </c>
      <c r="V3" s="282" t="s">
        <v>34</v>
      </c>
      <c r="W3" s="282" t="s">
        <v>35</v>
      </c>
      <c r="X3" s="282" t="s">
        <v>36</v>
      </c>
      <c r="Y3" s="282" t="s">
        <v>37</v>
      </c>
      <c r="Z3" s="282" t="s">
        <v>3</v>
      </c>
      <c r="AA3" s="288" t="s">
        <v>191</v>
      </c>
      <c r="AB3" s="288" t="s">
        <v>38</v>
      </c>
      <c r="AC3" s="288" t="s">
        <v>39</v>
      </c>
      <c r="AD3" s="288" t="s">
        <v>40</v>
      </c>
      <c r="AE3" s="288" t="s">
        <v>41</v>
      </c>
      <c r="AF3" s="288" t="s">
        <v>42</v>
      </c>
      <c r="AG3" s="288" t="s">
        <v>43</v>
      </c>
      <c r="AH3" s="289" t="s">
        <v>140</v>
      </c>
      <c r="AI3" s="290" t="s">
        <v>44</v>
      </c>
      <c r="AJ3" s="290" t="s">
        <v>17</v>
      </c>
      <c r="AK3" s="290" t="s">
        <v>45</v>
      </c>
      <c r="AL3" s="290" t="s">
        <v>46</v>
      </c>
      <c r="AM3" s="291" t="s">
        <v>198</v>
      </c>
      <c r="AN3" s="291" t="s">
        <v>198</v>
      </c>
      <c r="AO3" s="291" t="s">
        <v>259</v>
      </c>
      <c r="AP3" s="291" t="s">
        <v>47</v>
      </c>
      <c r="AQ3" s="291" t="s">
        <v>48</v>
      </c>
      <c r="AR3" s="291" t="s">
        <v>49</v>
      </c>
      <c r="AS3" s="292" t="s">
        <v>50</v>
      </c>
    </row>
    <row r="4" spans="1:45" s="258" customFormat="1" ht="78.75">
      <c r="A4" s="251" t="s">
        <v>265</v>
      </c>
      <c r="B4" s="252" t="s">
        <v>5</v>
      </c>
      <c r="C4" s="252">
        <v>60</v>
      </c>
      <c r="D4" s="252">
        <v>4</v>
      </c>
      <c r="E4" s="252">
        <v>40</v>
      </c>
      <c r="F4" s="252">
        <v>7</v>
      </c>
      <c r="G4" s="252">
        <v>7</v>
      </c>
      <c r="H4" s="252">
        <v>7</v>
      </c>
      <c r="I4" s="253">
        <v>0</v>
      </c>
      <c r="J4" s="252" t="s">
        <v>242</v>
      </c>
      <c r="K4" s="254" t="s">
        <v>61</v>
      </c>
      <c r="L4" s="254" t="s">
        <v>61</v>
      </c>
      <c r="M4" s="254" t="s">
        <v>247</v>
      </c>
      <c r="N4" s="252" t="s">
        <v>52</v>
      </c>
      <c r="O4" s="252" t="s">
        <v>249</v>
      </c>
      <c r="P4" s="252" t="s">
        <v>158</v>
      </c>
      <c r="Q4" s="252" t="s">
        <v>162</v>
      </c>
      <c r="R4" s="252" t="s">
        <v>158</v>
      </c>
      <c r="S4" s="252" t="s">
        <v>162</v>
      </c>
      <c r="T4" s="255" t="s">
        <v>52</v>
      </c>
      <c r="U4" s="252" t="s">
        <v>58</v>
      </c>
      <c r="V4" s="252" t="s">
        <v>261</v>
      </c>
      <c r="W4" s="252" t="s">
        <v>52</v>
      </c>
      <c r="X4" s="252" t="s">
        <v>158</v>
      </c>
      <c r="Y4" s="252" t="s">
        <v>162</v>
      </c>
      <c r="Z4" s="252" t="s">
        <v>3</v>
      </c>
      <c r="AA4" s="252" t="s">
        <v>257</v>
      </c>
      <c r="AB4" s="252" t="s">
        <v>276</v>
      </c>
      <c r="AC4" s="252">
        <v>2</v>
      </c>
      <c r="AD4" s="252">
        <v>1</v>
      </c>
      <c r="AE4" s="252">
        <v>0.5</v>
      </c>
      <c r="AF4" s="252" t="s">
        <v>277</v>
      </c>
      <c r="AG4" s="252"/>
      <c r="AH4" s="252">
        <f t="shared" ref="AH4:AH9" si="0">(C4-(H4*2))/2</f>
        <v>23</v>
      </c>
      <c r="AI4" s="252">
        <v>25</v>
      </c>
      <c r="AJ4" s="252">
        <v>1</v>
      </c>
      <c r="AK4" s="252">
        <v>20</v>
      </c>
      <c r="AL4" s="252">
        <v>10</v>
      </c>
      <c r="AM4" s="252">
        <f>((C4-(I4*2))*1.5+(AK4*2)+((AC4+AE4+AD4)*2)*AJ4)/36*2</f>
        <v>7.6111111111111107</v>
      </c>
      <c r="AN4" s="252"/>
      <c r="AO4" s="256">
        <f>(((C12-H12*2)*1.5)+(AL12+AC12)*2)*AJ12/36</f>
        <v>4.25</v>
      </c>
      <c r="AP4" s="256"/>
      <c r="AQ4" s="256"/>
      <c r="AR4" s="256"/>
      <c r="AS4" s="257"/>
    </row>
    <row r="5" spans="1:45" s="258" customFormat="1" ht="78.75">
      <c r="A5" s="259" t="s">
        <v>265</v>
      </c>
      <c r="B5" s="260" t="s">
        <v>5</v>
      </c>
      <c r="C5" s="260">
        <v>60</v>
      </c>
      <c r="D5" s="260">
        <v>4</v>
      </c>
      <c r="E5" s="260">
        <v>40</v>
      </c>
      <c r="F5" s="260">
        <v>7</v>
      </c>
      <c r="G5" s="260">
        <v>7</v>
      </c>
      <c r="H5" s="260">
        <v>7</v>
      </c>
      <c r="I5" s="260">
        <v>0</v>
      </c>
      <c r="J5" s="260" t="s">
        <v>242</v>
      </c>
      <c r="K5" s="261" t="s">
        <v>264</v>
      </c>
      <c r="L5" s="261" t="s">
        <v>264</v>
      </c>
      <c r="M5" s="260" t="s">
        <v>247</v>
      </c>
      <c r="N5" s="260" t="s">
        <v>52</v>
      </c>
      <c r="O5" s="260" t="s">
        <v>249</v>
      </c>
      <c r="P5" s="260" t="s">
        <v>158</v>
      </c>
      <c r="Q5" s="260" t="s">
        <v>162</v>
      </c>
      <c r="R5" s="260" t="s">
        <v>158</v>
      </c>
      <c r="S5" s="260" t="s">
        <v>162</v>
      </c>
      <c r="T5" s="262" t="s">
        <v>52</v>
      </c>
      <c r="U5" s="260" t="s">
        <v>258</v>
      </c>
      <c r="V5" s="260"/>
      <c r="W5" s="260" t="s">
        <v>52</v>
      </c>
      <c r="X5" s="260" t="s">
        <v>158</v>
      </c>
      <c r="Y5" s="260" t="s">
        <v>162</v>
      </c>
      <c r="Z5" s="260" t="s">
        <v>3</v>
      </c>
      <c r="AA5" s="260" t="s">
        <v>255</v>
      </c>
      <c r="AB5" s="260" t="s">
        <v>276</v>
      </c>
      <c r="AC5" s="260">
        <v>2</v>
      </c>
      <c r="AD5" s="260">
        <v>1</v>
      </c>
      <c r="AE5" s="260">
        <v>0.5</v>
      </c>
      <c r="AF5" s="260" t="s">
        <v>277</v>
      </c>
      <c r="AG5" s="260"/>
      <c r="AH5" s="260">
        <f t="shared" si="0"/>
        <v>23</v>
      </c>
      <c r="AI5" s="260">
        <v>25</v>
      </c>
      <c r="AJ5" s="260">
        <v>1</v>
      </c>
      <c r="AK5" s="260">
        <v>20</v>
      </c>
      <c r="AL5" s="260">
        <v>10</v>
      </c>
      <c r="AM5" s="263"/>
      <c r="AN5" s="263"/>
      <c r="AO5" s="263">
        <f>(((C5-H5*2)*1.5)+(AL5+AC5)*2)*AJ5/36</f>
        <v>2.5833333333333335</v>
      </c>
      <c r="AP5" s="263">
        <f>ROUND(AJ5*35,2)</f>
        <v>35</v>
      </c>
      <c r="AQ5" s="263"/>
      <c r="AR5" s="263"/>
      <c r="AS5" s="264"/>
    </row>
    <row r="6" spans="1:45" s="258" customFormat="1" ht="78.75">
      <c r="A6" s="259" t="s">
        <v>262</v>
      </c>
      <c r="B6" s="260" t="s">
        <v>5</v>
      </c>
      <c r="C6" s="260">
        <v>60</v>
      </c>
      <c r="D6" s="260">
        <v>4</v>
      </c>
      <c r="E6" s="260">
        <v>40</v>
      </c>
      <c r="F6" s="260">
        <v>7</v>
      </c>
      <c r="G6" s="260">
        <v>7</v>
      </c>
      <c r="H6" s="260">
        <v>7</v>
      </c>
      <c r="I6" s="260">
        <v>0</v>
      </c>
      <c r="J6" s="260" t="s">
        <v>242</v>
      </c>
      <c r="K6" s="261" t="s">
        <v>6</v>
      </c>
      <c r="L6" s="261" t="s">
        <v>6</v>
      </c>
      <c r="M6" s="260" t="s">
        <v>247</v>
      </c>
      <c r="N6" s="260" t="s">
        <v>52</v>
      </c>
      <c r="O6" s="260" t="s">
        <v>249</v>
      </c>
      <c r="P6" s="260" t="s">
        <v>158</v>
      </c>
      <c r="Q6" s="260" t="s">
        <v>162</v>
      </c>
      <c r="R6" s="260" t="s">
        <v>158</v>
      </c>
      <c r="S6" s="260" t="s">
        <v>162</v>
      </c>
      <c r="T6" s="262" t="s">
        <v>52</v>
      </c>
      <c r="U6" s="260" t="s">
        <v>258</v>
      </c>
      <c r="V6" s="260" t="s">
        <v>162</v>
      </c>
      <c r="W6" s="260" t="s">
        <v>52</v>
      </c>
      <c r="X6" s="260" t="s">
        <v>158</v>
      </c>
      <c r="Y6" s="260" t="s">
        <v>162</v>
      </c>
      <c r="Z6" s="260" t="s">
        <v>3</v>
      </c>
      <c r="AA6" s="260" t="s">
        <v>257</v>
      </c>
      <c r="AB6" s="260" t="s">
        <v>276</v>
      </c>
      <c r="AC6" s="260">
        <v>2</v>
      </c>
      <c r="AD6" s="260">
        <v>1</v>
      </c>
      <c r="AE6" s="260">
        <v>0.5</v>
      </c>
      <c r="AF6" s="260" t="s">
        <v>277</v>
      </c>
      <c r="AG6" s="260"/>
      <c r="AH6" s="260">
        <f t="shared" si="0"/>
        <v>23</v>
      </c>
      <c r="AI6" s="260">
        <v>25</v>
      </c>
      <c r="AJ6" s="260">
        <v>1</v>
      </c>
      <c r="AK6" s="260">
        <v>20</v>
      </c>
      <c r="AL6" s="260">
        <v>10</v>
      </c>
      <c r="AM6" s="263"/>
      <c r="AN6" s="263"/>
      <c r="AO6" s="263">
        <f>(((C6-H6*2)*1.5)+(AL6+AC6)*2)*AJ6/36</f>
        <v>2.5833333333333335</v>
      </c>
      <c r="AP6" s="263">
        <f>ROUND(AJ6*35,2)</f>
        <v>35</v>
      </c>
      <c r="AQ6" s="263"/>
      <c r="AR6" s="263"/>
      <c r="AS6" s="264"/>
    </row>
    <row r="7" spans="1:45" s="258" customFormat="1" ht="78.75">
      <c r="A7" s="259" t="s">
        <v>278</v>
      </c>
      <c r="B7" s="260" t="s">
        <v>5</v>
      </c>
      <c r="C7" s="260">
        <v>60</v>
      </c>
      <c r="D7" s="260">
        <v>4</v>
      </c>
      <c r="E7" s="260">
        <v>40</v>
      </c>
      <c r="F7" s="260">
        <v>7</v>
      </c>
      <c r="G7" s="260">
        <v>7</v>
      </c>
      <c r="H7" s="260">
        <v>7</v>
      </c>
      <c r="I7" s="260">
        <v>0</v>
      </c>
      <c r="J7" s="260" t="s">
        <v>242</v>
      </c>
      <c r="K7" s="261" t="s">
        <v>6</v>
      </c>
      <c r="L7" s="261" t="s">
        <v>6</v>
      </c>
      <c r="M7" s="260" t="s">
        <v>247</v>
      </c>
      <c r="N7" s="260" t="s">
        <v>52</v>
      </c>
      <c r="O7" s="260" t="s">
        <v>249</v>
      </c>
      <c r="P7" s="260" t="s">
        <v>158</v>
      </c>
      <c r="Q7" s="260" t="s">
        <v>162</v>
      </c>
      <c r="R7" s="260" t="s">
        <v>158</v>
      </c>
      <c r="S7" s="260" t="s">
        <v>162</v>
      </c>
      <c r="T7" s="262" t="s">
        <v>52</v>
      </c>
      <c r="U7" s="260" t="s">
        <v>258</v>
      </c>
      <c r="V7" s="260" t="s">
        <v>57</v>
      </c>
      <c r="W7" s="260" t="s">
        <v>52</v>
      </c>
      <c r="X7" s="260" t="s">
        <v>158</v>
      </c>
      <c r="Y7" s="260" t="s">
        <v>162</v>
      </c>
      <c r="Z7" s="260" t="s">
        <v>3</v>
      </c>
      <c r="AA7" s="260" t="s">
        <v>257</v>
      </c>
      <c r="AB7" s="260" t="s">
        <v>276</v>
      </c>
      <c r="AC7" s="260">
        <v>2</v>
      </c>
      <c r="AD7" s="260">
        <v>1</v>
      </c>
      <c r="AE7" s="260">
        <v>0.5</v>
      </c>
      <c r="AF7" s="260" t="s">
        <v>277</v>
      </c>
      <c r="AG7" s="260"/>
      <c r="AH7" s="260">
        <f t="shared" si="0"/>
        <v>23</v>
      </c>
      <c r="AI7" s="260">
        <v>25</v>
      </c>
      <c r="AJ7" s="260">
        <v>1</v>
      </c>
      <c r="AK7" s="260">
        <v>20</v>
      </c>
      <c r="AL7" s="260">
        <v>10</v>
      </c>
      <c r="AM7" s="263"/>
      <c r="AN7" s="263"/>
      <c r="AO7" s="263">
        <f>(((C7-H7*2)*1.5)+(AL7+AC7)*2)*AJ7/36</f>
        <v>2.5833333333333335</v>
      </c>
      <c r="AP7" s="263">
        <f>ROUND(AJ7*35,2)</f>
        <v>35</v>
      </c>
      <c r="AQ7" s="263"/>
      <c r="AR7" s="263"/>
      <c r="AS7" s="264"/>
    </row>
    <row r="8" spans="1:45" s="258" customFormat="1" ht="78.75">
      <c r="A8" s="259" t="s">
        <v>278</v>
      </c>
      <c r="B8" s="260" t="s">
        <v>5</v>
      </c>
      <c r="C8" s="260">
        <v>60</v>
      </c>
      <c r="D8" s="260">
        <v>4</v>
      </c>
      <c r="E8" s="260">
        <v>40</v>
      </c>
      <c r="F8" s="260">
        <v>7</v>
      </c>
      <c r="G8" s="260">
        <v>7</v>
      </c>
      <c r="H8" s="260">
        <v>7</v>
      </c>
      <c r="I8" s="260">
        <v>0</v>
      </c>
      <c r="J8" s="260" t="s">
        <v>242</v>
      </c>
      <c r="K8" s="261" t="s">
        <v>6</v>
      </c>
      <c r="L8" s="261" t="s">
        <v>6</v>
      </c>
      <c r="M8" s="260" t="s">
        <v>247</v>
      </c>
      <c r="N8" s="260" t="s">
        <v>52</v>
      </c>
      <c r="O8" s="260" t="s">
        <v>249</v>
      </c>
      <c r="P8" s="260" t="s">
        <v>158</v>
      </c>
      <c r="Q8" s="260" t="s">
        <v>162</v>
      </c>
      <c r="R8" s="260" t="s">
        <v>158</v>
      </c>
      <c r="S8" s="260" t="s">
        <v>162</v>
      </c>
      <c r="T8" s="262" t="s">
        <v>52</v>
      </c>
      <c r="U8" s="260" t="s">
        <v>258</v>
      </c>
      <c r="V8" s="260" t="s">
        <v>279</v>
      </c>
      <c r="W8" s="260" t="s">
        <v>52</v>
      </c>
      <c r="X8" s="260" t="s">
        <v>158</v>
      </c>
      <c r="Y8" s="260" t="s">
        <v>162</v>
      </c>
      <c r="Z8" s="260" t="s">
        <v>3</v>
      </c>
      <c r="AA8" s="260" t="s">
        <v>257</v>
      </c>
      <c r="AB8" s="260" t="s">
        <v>276</v>
      </c>
      <c r="AC8" s="260">
        <v>2</v>
      </c>
      <c r="AD8" s="260">
        <v>1</v>
      </c>
      <c r="AE8" s="260">
        <v>0.5</v>
      </c>
      <c r="AF8" s="260" t="s">
        <v>277</v>
      </c>
      <c r="AG8" s="260"/>
      <c r="AH8" s="260">
        <f t="shared" si="0"/>
        <v>23</v>
      </c>
      <c r="AI8" s="260">
        <v>25</v>
      </c>
      <c r="AJ8" s="260">
        <v>1</v>
      </c>
      <c r="AK8" s="260">
        <v>20</v>
      </c>
      <c r="AL8" s="260">
        <v>10</v>
      </c>
      <c r="AM8" s="263"/>
      <c r="AN8" s="263"/>
      <c r="AO8" s="263"/>
      <c r="AP8" s="263"/>
      <c r="AQ8" s="263"/>
      <c r="AR8" s="263"/>
      <c r="AS8" s="264"/>
    </row>
    <row r="9" spans="1:45" s="258" customFormat="1" ht="78.75">
      <c r="A9" s="259" t="s">
        <v>280</v>
      </c>
      <c r="B9" s="260" t="s">
        <v>5</v>
      </c>
      <c r="C9" s="260">
        <v>60</v>
      </c>
      <c r="D9" s="260">
        <v>4</v>
      </c>
      <c r="E9" s="260">
        <v>40</v>
      </c>
      <c r="F9" s="260">
        <v>7</v>
      </c>
      <c r="G9" s="260">
        <v>7</v>
      </c>
      <c r="H9" s="260">
        <v>7</v>
      </c>
      <c r="I9" s="260">
        <v>0</v>
      </c>
      <c r="J9" s="260" t="s">
        <v>242</v>
      </c>
      <c r="K9" s="261"/>
      <c r="L9" s="261"/>
      <c r="M9" s="260" t="s">
        <v>247</v>
      </c>
      <c r="N9" s="260" t="s">
        <v>52</v>
      </c>
      <c r="O9" s="260" t="s">
        <v>249</v>
      </c>
      <c r="P9" s="260" t="s">
        <v>158</v>
      </c>
      <c r="Q9" s="260" t="s">
        <v>162</v>
      </c>
      <c r="R9" s="260" t="s">
        <v>158</v>
      </c>
      <c r="S9" s="260" t="s">
        <v>162</v>
      </c>
      <c r="T9" s="262" t="s">
        <v>52</v>
      </c>
      <c r="U9" s="260" t="s">
        <v>58</v>
      </c>
      <c r="V9" s="260"/>
      <c r="W9" s="260" t="s">
        <v>52</v>
      </c>
      <c r="X9" s="260" t="s">
        <v>158</v>
      </c>
      <c r="Y9" s="260" t="s">
        <v>162</v>
      </c>
      <c r="Z9" s="260" t="s">
        <v>3</v>
      </c>
      <c r="AA9" s="260" t="s">
        <v>257</v>
      </c>
      <c r="AB9" s="260" t="s">
        <v>276</v>
      </c>
      <c r="AC9" s="260">
        <v>2</v>
      </c>
      <c r="AD9" s="260">
        <v>1</v>
      </c>
      <c r="AE9" s="260">
        <v>0.5</v>
      </c>
      <c r="AF9" s="260" t="s">
        <v>277</v>
      </c>
      <c r="AG9" s="260"/>
      <c r="AH9" s="260">
        <f t="shared" si="0"/>
        <v>23</v>
      </c>
      <c r="AI9" s="260">
        <v>25</v>
      </c>
      <c r="AJ9" s="260">
        <v>1</v>
      </c>
      <c r="AK9" s="260">
        <v>20</v>
      </c>
      <c r="AL9" s="260">
        <v>10</v>
      </c>
      <c r="AM9" s="263">
        <f>((C9-(I9*2))*1.5+(AK9*2)+((AC9+AE9+AD9)*2)*AJ9)/36*2</f>
        <v>7.6111111111111107</v>
      </c>
      <c r="AN9" s="263"/>
      <c r="AO9" s="263">
        <f>(((C9-H9*2)*1.5)+(AL9+AC9)*2)*AJ9/36</f>
        <v>2.5833333333333335</v>
      </c>
      <c r="AP9" s="263">
        <f t="shared" ref="AP9:AP14" si="1">ROUND(AJ9*35,2)</f>
        <v>35</v>
      </c>
      <c r="AQ9" s="263">
        <f>7.61111111111111*25</f>
        <v>190.27777777777774</v>
      </c>
      <c r="AR9" s="263"/>
      <c r="AS9" s="264"/>
    </row>
    <row r="10" spans="1:45" s="258" customFormat="1" ht="78.75">
      <c r="A10" s="259" t="s">
        <v>281</v>
      </c>
      <c r="B10" s="260" t="s">
        <v>5</v>
      </c>
      <c r="C10" s="260">
        <v>100</v>
      </c>
      <c r="D10" s="260">
        <v>10</v>
      </c>
      <c r="E10" s="260">
        <v>96</v>
      </c>
      <c r="F10" s="260">
        <v>4</v>
      </c>
      <c r="G10" s="260">
        <v>4</v>
      </c>
      <c r="H10" s="260">
        <v>7</v>
      </c>
      <c r="I10" s="260">
        <v>3</v>
      </c>
      <c r="J10" s="260" t="s">
        <v>242</v>
      </c>
      <c r="K10" s="261" t="s">
        <v>281</v>
      </c>
      <c r="L10" s="261" t="s">
        <v>281</v>
      </c>
      <c r="M10" s="260" t="s">
        <v>247</v>
      </c>
      <c r="N10" s="260" t="s">
        <v>52</v>
      </c>
      <c r="O10" s="260" t="s">
        <v>249</v>
      </c>
      <c r="P10" s="260" t="s">
        <v>158</v>
      </c>
      <c r="Q10" s="260" t="s">
        <v>162</v>
      </c>
      <c r="R10" s="260" t="s">
        <v>158</v>
      </c>
      <c r="S10" s="260" t="s">
        <v>162</v>
      </c>
      <c r="T10" s="262" t="s">
        <v>52</v>
      </c>
      <c r="U10" s="260" t="s">
        <v>58</v>
      </c>
      <c r="V10" s="260" t="s">
        <v>281</v>
      </c>
      <c r="W10" s="260" t="s">
        <v>52</v>
      </c>
      <c r="X10" s="260" t="s">
        <v>158</v>
      </c>
      <c r="Y10" s="260" t="s">
        <v>162</v>
      </c>
      <c r="Z10" s="260" t="s">
        <v>3</v>
      </c>
      <c r="AA10" s="260" t="s">
        <v>257</v>
      </c>
      <c r="AB10" s="260" t="s">
        <v>276</v>
      </c>
      <c r="AC10" s="260">
        <v>2</v>
      </c>
      <c r="AD10" s="260">
        <v>1</v>
      </c>
      <c r="AE10" s="260">
        <v>0.5</v>
      </c>
      <c r="AF10" s="260" t="s">
        <v>277</v>
      </c>
      <c r="AG10" s="260"/>
      <c r="AH10" s="260">
        <f>(C10-(H10*2))/2</f>
        <v>43</v>
      </c>
      <c r="AI10" s="260">
        <v>25</v>
      </c>
      <c r="AJ10" s="260">
        <v>1</v>
      </c>
      <c r="AK10" s="260">
        <v>20</v>
      </c>
      <c r="AL10" s="260">
        <v>10</v>
      </c>
      <c r="AM10" s="263">
        <f>((C10-(I10*2))*1.5+(AK10*2)+((AC10+AE10+AD10)*2)*AJ10)/36</f>
        <v>5.2222222222222223</v>
      </c>
      <c r="AN10" s="263">
        <f>((C10-(I10*2))*1.5+(AK10*2)+((AC10+AE10+AD10)*2)*AJ10)/36</f>
        <v>5.2222222222222223</v>
      </c>
      <c r="AO10" s="263">
        <f>(((C10-H10*2)*1.5)+(AL10+AC10)*2)*AJ10/36</f>
        <v>4.25</v>
      </c>
      <c r="AP10" s="263">
        <f t="shared" si="1"/>
        <v>35</v>
      </c>
      <c r="AQ10" s="263">
        <f t="shared" ref="AQ10:AR12" si="2">5.22222222222222*25</f>
        <v>130.55555555555549</v>
      </c>
      <c r="AR10" s="263">
        <f t="shared" si="2"/>
        <v>130.55555555555549</v>
      </c>
      <c r="AS10" s="264">
        <f>5.22222222222222*10</f>
        <v>52.2222222222222</v>
      </c>
    </row>
    <row r="11" spans="1:45" s="258" customFormat="1" ht="78.75">
      <c r="A11" s="259" t="s">
        <v>282</v>
      </c>
      <c r="B11" s="260" t="s">
        <v>5</v>
      </c>
      <c r="C11" s="260">
        <v>100</v>
      </c>
      <c r="D11" s="260">
        <v>10</v>
      </c>
      <c r="E11" s="260">
        <v>40</v>
      </c>
      <c r="F11" s="260">
        <v>4</v>
      </c>
      <c r="G11" s="260">
        <v>4</v>
      </c>
      <c r="H11" s="260">
        <v>7</v>
      </c>
      <c r="I11" s="260">
        <v>3</v>
      </c>
      <c r="J11" s="260" t="s">
        <v>242</v>
      </c>
      <c r="K11" s="261" t="s">
        <v>282</v>
      </c>
      <c r="L11" s="261" t="s">
        <v>282</v>
      </c>
      <c r="M11" s="260" t="s">
        <v>247</v>
      </c>
      <c r="N11" s="260" t="s">
        <v>52</v>
      </c>
      <c r="O11" s="260" t="s">
        <v>249</v>
      </c>
      <c r="P11" s="260" t="s">
        <v>158</v>
      </c>
      <c r="Q11" s="260" t="s">
        <v>162</v>
      </c>
      <c r="R11" s="260" t="s">
        <v>158</v>
      </c>
      <c r="S11" s="260" t="s">
        <v>162</v>
      </c>
      <c r="T11" s="262" t="s">
        <v>52</v>
      </c>
      <c r="U11" s="260" t="s">
        <v>58</v>
      </c>
      <c r="V11" s="260" t="s">
        <v>282</v>
      </c>
      <c r="W11" s="260" t="s">
        <v>52</v>
      </c>
      <c r="X11" s="260" t="s">
        <v>158</v>
      </c>
      <c r="Y11" s="260" t="s">
        <v>162</v>
      </c>
      <c r="Z11" s="260" t="s">
        <v>3</v>
      </c>
      <c r="AA11" s="260" t="s">
        <v>257</v>
      </c>
      <c r="AB11" s="260" t="s">
        <v>276</v>
      </c>
      <c r="AC11" s="260">
        <v>2</v>
      </c>
      <c r="AD11" s="260">
        <v>1</v>
      </c>
      <c r="AE11" s="260">
        <v>0.5</v>
      </c>
      <c r="AF11" s="260" t="s">
        <v>277</v>
      </c>
      <c r="AG11" s="260"/>
      <c r="AH11" s="260">
        <f>(C11-(H11*2))/2</f>
        <v>43</v>
      </c>
      <c r="AI11" s="260">
        <v>25</v>
      </c>
      <c r="AJ11" s="260">
        <v>1</v>
      </c>
      <c r="AK11" s="260">
        <v>20</v>
      </c>
      <c r="AL11" s="260">
        <v>10</v>
      </c>
      <c r="AM11" s="263">
        <f>((C11-(I11*2))*1.5+(AK11*2)+((AC11+AE11+AD11)*2)*AJ11)/36</f>
        <v>5.2222222222222223</v>
      </c>
      <c r="AN11" s="263">
        <f>((C11-(I11*2))*1.5+(AK11*2)+((AC11+AE11+AD11)*2)*AJ11)/36</f>
        <v>5.2222222222222223</v>
      </c>
      <c r="AO11" s="263">
        <f>(((C11-H11*2)*1.5)+(AL11+AC11)*2)*AJ11/36</f>
        <v>4.25</v>
      </c>
      <c r="AP11" s="263">
        <f t="shared" si="1"/>
        <v>35</v>
      </c>
      <c r="AQ11" s="263">
        <f t="shared" si="2"/>
        <v>130.55555555555549</v>
      </c>
      <c r="AR11" s="263">
        <f t="shared" si="2"/>
        <v>130.55555555555549</v>
      </c>
      <c r="AS11" s="264">
        <f>5.22222222222222*10</f>
        <v>52.2222222222222</v>
      </c>
    </row>
    <row r="12" spans="1:45" s="258" customFormat="1" ht="78.75">
      <c r="A12" s="259" t="s">
        <v>283</v>
      </c>
      <c r="B12" s="260" t="s">
        <v>5</v>
      </c>
      <c r="C12" s="260">
        <v>100</v>
      </c>
      <c r="D12" s="260">
        <v>10</v>
      </c>
      <c r="E12" s="260">
        <v>40</v>
      </c>
      <c r="F12" s="260">
        <v>4</v>
      </c>
      <c r="G12" s="260">
        <v>4</v>
      </c>
      <c r="H12" s="260">
        <v>7</v>
      </c>
      <c r="I12" s="260">
        <v>3</v>
      </c>
      <c r="J12" s="260" t="s">
        <v>242</v>
      </c>
      <c r="K12" s="261" t="s">
        <v>283</v>
      </c>
      <c r="L12" s="261" t="s">
        <v>283</v>
      </c>
      <c r="M12" s="260" t="s">
        <v>247</v>
      </c>
      <c r="N12" s="260" t="s">
        <v>52</v>
      </c>
      <c r="O12" s="260" t="s">
        <v>249</v>
      </c>
      <c r="P12" s="260" t="s">
        <v>158</v>
      </c>
      <c r="Q12" s="260" t="s">
        <v>162</v>
      </c>
      <c r="R12" s="260" t="s">
        <v>158</v>
      </c>
      <c r="S12" s="260" t="s">
        <v>162</v>
      </c>
      <c r="T12" s="262" t="s">
        <v>52</v>
      </c>
      <c r="U12" s="260" t="s">
        <v>58</v>
      </c>
      <c r="V12" s="260" t="s">
        <v>283</v>
      </c>
      <c r="W12" s="260" t="s">
        <v>52</v>
      </c>
      <c r="X12" s="260" t="s">
        <v>158</v>
      </c>
      <c r="Y12" s="260" t="s">
        <v>162</v>
      </c>
      <c r="Z12" s="260" t="s">
        <v>3</v>
      </c>
      <c r="AA12" s="260" t="s">
        <v>257</v>
      </c>
      <c r="AB12" s="260" t="s">
        <v>276</v>
      </c>
      <c r="AC12" s="260">
        <v>2</v>
      </c>
      <c r="AD12" s="260">
        <v>1</v>
      </c>
      <c r="AE12" s="260">
        <v>0.5</v>
      </c>
      <c r="AF12" s="260" t="s">
        <v>277</v>
      </c>
      <c r="AG12" s="260"/>
      <c r="AH12" s="260">
        <f>(C12-(H12*2))/2</f>
        <v>43</v>
      </c>
      <c r="AI12" s="260">
        <v>25</v>
      </c>
      <c r="AJ12" s="260">
        <v>1</v>
      </c>
      <c r="AK12" s="260">
        <v>20</v>
      </c>
      <c r="AL12" s="260">
        <v>10</v>
      </c>
      <c r="AM12" s="263">
        <f>((C12-(I12*2))*1.5+(AK12*2)+((AC12+AE12+AD12)*2)*AJ12)/36</f>
        <v>5.2222222222222223</v>
      </c>
      <c r="AN12" s="263">
        <f>((C12-(I12*2))*1.5+(AK12*2)+((AC12+AE12+AD12)*2)*AJ12)/36</f>
        <v>5.2222222222222223</v>
      </c>
      <c r="AO12" s="263">
        <f>(((C12-H12*2)*1.5)+(AL12+AC12)*2)*AJ12/36</f>
        <v>4.25</v>
      </c>
      <c r="AP12" s="260">
        <f t="shared" si="1"/>
        <v>35</v>
      </c>
      <c r="AQ12" s="260">
        <f t="shared" si="2"/>
        <v>130.55555555555549</v>
      </c>
      <c r="AR12" s="260">
        <f t="shared" si="2"/>
        <v>130.55555555555549</v>
      </c>
      <c r="AS12" s="265">
        <f>5.22222222222222*10</f>
        <v>52.2222222222222</v>
      </c>
    </row>
    <row r="13" spans="1:45" s="258" customFormat="1" ht="33.75">
      <c r="A13" s="259" t="s">
        <v>4</v>
      </c>
      <c r="B13" s="260" t="s">
        <v>5</v>
      </c>
      <c r="C13" s="260">
        <v>60</v>
      </c>
      <c r="D13" s="260">
        <v>4</v>
      </c>
      <c r="E13" s="260">
        <v>40</v>
      </c>
      <c r="F13" s="260">
        <v>7</v>
      </c>
      <c r="G13" s="260">
        <v>7</v>
      </c>
      <c r="H13" s="260">
        <v>7</v>
      </c>
      <c r="I13" s="260">
        <v>0</v>
      </c>
      <c r="J13" s="260" t="s">
        <v>242</v>
      </c>
      <c r="K13" s="261"/>
      <c r="L13" s="261"/>
      <c r="M13" s="260" t="s">
        <v>247</v>
      </c>
      <c r="N13" s="260" t="s">
        <v>6</v>
      </c>
      <c r="O13" s="260"/>
      <c r="P13" s="260" t="s">
        <v>158</v>
      </c>
      <c r="Q13" s="260" t="s">
        <v>162</v>
      </c>
      <c r="R13" s="260"/>
      <c r="S13" s="260"/>
      <c r="T13" s="262" t="s">
        <v>52</v>
      </c>
      <c r="U13" s="260" t="s">
        <v>58</v>
      </c>
      <c r="V13" s="260"/>
      <c r="W13" s="260" t="s">
        <v>6</v>
      </c>
      <c r="X13" s="260"/>
      <c r="Y13" s="260"/>
      <c r="Z13" s="260" t="s">
        <v>3</v>
      </c>
      <c r="AA13" s="260"/>
      <c r="AB13" s="260" t="s">
        <v>276</v>
      </c>
      <c r="AC13" s="260">
        <v>2</v>
      </c>
      <c r="AD13" s="260">
        <v>1</v>
      </c>
      <c r="AE13" s="260">
        <v>0.5</v>
      </c>
      <c r="AF13" s="260" t="s">
        <v>277</v>
      </c>
      <c r="AG13" s="260"/>
      <c r="AH13" s="260">
        <f>(C13-(H13*2))/2</f>
        <v>23</v>
      </c>
      <c r="AI13" s="260">
        <v>25</v>
      </c>
      <c r="AJ13" s="260">
        <v>1</v>
      </c>
      <c r="AK13" s="260">
        <v>20</v>
      </c>
      <c r="AL13" s="260">
        <v>10</v>
      </c>
      <c r="AM13" s="263">
        <f>ROUND(((C13-(I13*2))*1.5+(AK13*2)+((AC13+AE13+AD13)*2)*AJ13)/36*2,4)</f>
        <v>7.6111000000000004</v>
      </c>
      <c r="AN13" s="263"/>
      <c r="AO13" s="263"/>
      <c r="AP13" s="260">
        <f t="shared" si="1"/>
        <v>35</v>
      </c>
      <c r="AQ13" s="260">
        <f>7.6111*25</f>
        <v>190.2775</v>
      </c>
      <c r="AR13" s="260"/>
      <c r="AS13" s="265"/>
    </row>
    <row r="14" spans="1:45" s="258" customFormat="1" ht="27" customHeight="1">
      <c r="A14" s="259" t="s">
        <v>284</v>
      </c>
      <c r="B14" s="260" t="s">
        <v>285</v>
      </c>
      <c r="C14" s="260">
        <v>80</v>
      </c>
      <c r="D14" s="260">
        <v>10</v>
      </c>
      <c r="E14" s="260">
        <v>100</v>
      </c>
      <c r="F14" s="260">
        <v>4</v>
      </c>
      <c r="G14" s="260">
        <v>4</v>
      </c>
      <c r="H14" s="260">
        <v>7</v>
      </c>
      <c r="I14" s="260">
        <v>3</v>
      </c>
      <c r="J14" s="260" t="s">
        <v>286</v>
      </c>
      <c r="K14" s="261"/>
      <c r="L14" s="261"/>
      <c r="M14" s="260" t="s">
        <v>247</v>
      </c>
      <c r="N14" s="260" t="s">
        <v>6</v>
      </c>
      <c r="O14" s="260"/>
      <c r="P14" s="260" t="s">
        <v>158</v>
      </c>
      <c r="Q14" s="260" t="s">
        <v>162</v>
      </c>
      <c r="R14" s="260"/>
      <c r="S14" s="260"/>
      <c r="T14" s="262" t="s">
        <v>52</v>
      </c>
      <c r="U14" s="260" t="s">
        <v>58</v>
      </c>
      <c r="V14" s="260"/>
      <c r="W14" s="260" t="s">
        <v>6</v>
      </c>
      <c r="X14" s="260"/>
      <c r="Y14" s="260"/>
      <c r="Z14" s="260" t="s">
        <v>3</v>
      </c>
      <c r="AA14" s="260"/>
      <c r="AB14" s="260" t="s">
        <v>276</v>
      </c>
      <c r="AC14" s="260">
        <v>2</v>
      </c>
      <c r="AD14" s="260">
        <v>1</v>
      </c>
      <c r="AE14" s="260">
        <v>0.5</v>
      </c>
      <c r="AF14" s="260" t="s">
        <v>277</v>
      </c>
      <c r="AG14" s="260"/>
      <c r="AH14" s="260">
        <f>(C14-(H14*2))/2</f>
        <v>33</v>
      </c>
      <c r="AI14" s="260"/>
      <c r="AJ14" s="260"/>
      <c r="AK14" s="260"/>
      <c r="AL14" s="260"/>
      <c r="AM14" s="263"/>
      <c r="AN14" s="263"/>
      <c r="AO14" s="263"/>
      <c r="AP14" s="260">
        <f t="shared" si="1"/>
        <v>0</v>
      </c>
      <c r="AQ14" s="260"/>
      <c r="AR14" s="260"/>
      <c r="AS14" s="265"/>
    </row>
    <row r="15" spans="1:45" s="258" customFormat="1">
      <c r="A15" s="259"/>
      <c r="B15" s="260"/>
      <c r="C15" s="260"/>
      <c r="D15" s="260"/>
      <c r="E15" s="260"/>
      <c r="F15" s="260"/>
      <c r="G15" s="260"/>
      <c r="H15" s="260"/>
      <c r="I15" s="260"/>
      <c r="J15" s="260"/>
      <c r="K15" s="261"/>
      <c r="L15" s="261"/>
      <c r="M15" s="260"/>
      <c r="N15" s="260"/>
      <c r="O15" s="260"/>
      <c r="P15" s="260"/>
      <c r="Q15" s="260"/>
      <c r="R15" s="260"/>
      <c r="S15" s="260"/>
      <c r="T15" s="262"/>
      <c r="U15" s="260"/>
      <c r="V15" s="260"/>
      <c r="W15" s="260"/>
      <c r="X15" s="260"/>
      <c r="Y15" s="260"/>
      <c r="Z15" s="260"/>
      <c r="AA15" s="260"/>
      <c r="AB15" s="260"/>
      <c r="AC15" s="260"/>
      <c r="AD15" s="260"/>
      <c r="AE15" s="260"/>
      <c r="AF15" s="260"/>
      <c r="AG15" s="260"/>
      <c r="AH15" s="260"/>
      <c r="AI15" s="260"/>
      <c r="AJ15" s="260"/>
      <c r="AK15" s="260"/>
      <c r="AL15" s="260"/>
      <c r="AM15" s="263"/>
      <c r="AN15" s="263"/>
      <c r="AO15" s="263"/>
      <c r="AP15" s="260"/>
      <c r="AQ15" s="260"/>
      <c r="AR15" s="260"/>
      <c r="AS15" s="265"/>
    </row>
    <row r="16" spans="1:45" s="258" customFormat="1">
      <c r="A16" s="259"/>
      <c r="B16" s="260"/>
      <c r="C16" s="260"/>
      <c r="D16" s="260"/>
      <c r="E16" s="260"/>
      <c r="F16" s="260"/>
      <c r="G16" s="260"/>
      <c r="H16" s="260"/>
      <c r="I16" s="260"/>
      <c r="J16" s="260"/>
      <c r="K16" s="261"/>
      <c r="L16" s="261"/>
      <c r="M16" s="260"/>
      <c r="N16" s="260"/>
      <c r="O16" s="260"/>
      <c r="P16" s="260"/>
      <c r="Q16" s="260"/>
      <c r="R16" s="260"/>
      <c r="S16" s="260"/>
      <c r="T16" s="262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0"/>
      <c r="AJ16" s="260"/>
      <c r="AK16" s="260"/>
      <c r="AL16" s="260"/>
      <c r="AM16" s="263"/>
      <c r="AN16" s="263"/>
      <c r="AO16" s="266"/>
      <c r="AP16" s="260"/>
      <c r="AQ16" s="260"/>
      <c r="AR16" s="260"/>
      <c r="AS16" s="265"/>
    </row>
    <row r="17" spans="1:45" s="258" customFormat="1">
      <c r="A17" s="259"/>
      <c r="B17" s="260"/>
      <c r="C17" s="260"/>
      <c r="D17" s="260"/>
      <c r="E17" s="260"/>
      <c r="F17" s="260"/>
      <c r="G17" s="260"/>
      <c r="H17" s="260"/>
      <c r="I17" s="260"/>
      <c r="J17" s="260"/>
      <c r="K17" s="261"/>
      <c r="L17" s="261"/>
      <c r="M17" s="260"/>
      <c r="N17" s="260"/>
      <c r="O17" s="260"/>
      <c r="P17" s="260"/>
      <c r="Q17" s="260"/>
      <c r="R17" s="260"/>
      <c r="S17" s="260"/>
      <c r="T17" s="262"/>
      <c r="U17" s="260"/>
      <c r="V17" s="260"/>
      <c r="W17" s="260"/>
      <c r="X17" s="260"/>
      <c r="Y17" s="260"/>
      <c r="Z17" s="260"/>
      <c r="AA17" s="260"/>
      <c r="AB17" s="260"/>
      <c r="AC17" s="260"/>
      <c r="AD17" s="260"/>
      <c r="AE17" s="260"/>
      <c r="AF17" s="260"/>
      <c r="AG17" s="260"/>
      <c r="AH17" s="260"/>
      <c r="AI17" s="260"/>
      <c r="AJ17" s="260"/>
      <c r="AK17" s="260"/>
      <c r="AL17" s="260"/>
      <c r="AM17" s="263"/>
      <c r="AN17" s="263"/>
      <c r="AO17" s="263"/>
      <c r="AP17" s="260"/>
      <c r="AQ17" s="260"/>
      <c r="AR17" s="260"/>
      <c r="AS17" s="265"/>
    </row>
    <row r="18" spans="1:45" s="258" customFormat="1">
      <c r="A18" s="259"/>
      <c r="B18" s="260"/>
      <c r="C18" s="260"/>
      <c r="D18" s="260"/>
      <c r="E18" s="260"/>
      <c r="F18" s="260"/>
      <c r="G18" s="260"/>
      <c r="H18" s="260"/>
      <c r="I18" s="260"/>
      <c r="J18" s="260"/>
      <c r="K18" s="261"/>
      <c r="L18" s="261"/>
      <c r="M18" s="260"/>
      <c r="N18" s="260"/>
      <c r="O18" s="260"/>
      <c r="P18" s="260"/>
      <c r="Q18" s="260"/>
      <c r="R18" s="260"/>
      <c r="S18" s="260"/>
      <c r="T18" s="262"/>
      <c r="U18" s="260"/>
      <c r="V18" s="260"/>
      <c r="W18" s="260"/>
      <c r="X18" s="260"/>
      <c r="Y18" s="260"/>
      <c r="Z18" s="260"/>
      <c r="AA18" s="260"/>
      <c r="AB18" s="260"/>
      <c r="AC18" s="260"/>
      <c r="AD18" s="260"/>
      <c r="AE18" s="260"/>
      <c r="AF18" s="260"/>
      <c r="AG18" s="260"/>
      <c r="AH18" s="260"/>
      <c r="AI18" s="260"/>
      <c r="AJ18" s="260"/>
      <c r="AK18" s="260"/>
      <c r="AL18" s="260"/>
      <c r="AM18" s="263"/>
      <c r="AN18" s="263"/>
      <c r="AO18" s="263"/>
      <c r="AP18" s="260"/>
      <c r="AQ18" s="260"/>
      <c r="AR18" s="260"/>
      <c r="AS18" s="265"/>
    </row>
    <row r="19" spans="1:45" s="258" customFormat="1">
      <c r="A19" s="259"/>
      <c r="B19" s="260"/>
      <c r="C19" s="260"/>
      <c r="D19" s="260"/>
      <c r="E19" s="260"/>
      <c r="F19" s="260"/>
      <c r="G19" s="260"/>
      <c r="H19" s="260"/>
      <c r="I19" s="260"/>
      <c r="J19" s="260"/>
      <c r="K19" s="261"/>
      <c r="L19" s="261"/>
      <c r="M19" s="260"/>
      <c r="N19" s="260"/>
      <c r="O19" s="260"/>
      <c r="P19" s="260"/>
      <c r="Q19" s="260"/>
      <c r="R19" s="260"/>
      <c r="S19" s="260"/>
      <c r="T19" s="262"/>
      <c r="U19" s="260"/>
      <c r="V19" s="260"/>
      <c r="W19" s="260"/>
      <c r="X19" s="260"/>
      <c r="Y19" s="260"/>
      <c r="Z19" s="260"/>
      <c r="AA19" s="260"/>
      <c r="AB19" s="260"/>
      <c r="AC19" s="260"/>
      <c r="AD19" s="260"/>
      <c r="AE19" s="260"/>
      <c r="AF19" s="260"/>
      <c r="AG19" s="260"/>
      <c r="AH19" s="260"/>
      <c r="AI19" s="260"/>
      <c r="AJ19" s="260"/>
      <c r="AK19" s="260"/>
      <c r="AL19" s="260"/>
      <c r="AM19" s="263"/>
      <c r="AN19" s="263"/>
      <c r="AO19" s="263"/>
      <c r="AP19" s="260"/>
      <c r="AQ19" s="260"/>
      <c r="AR19" s="260"/>
      <c r="AS19" s="265"/>
    </row>
    <row r="20" spans="1:45" s="258" customFormat="1">
      <c r="A20" s="267"/>
      <c r="B20" s="268"/>
      <c r="C20" s="269"/>
      <c r="D20" s="269"/>
      <c r="E20" s="269"/>
      <c r="F20" s="269"/>
      <c r="G20" s="269"/>
      <c r="H20" s="269"/>
      <c r="I20" s="269"/>
      <c r="J20" s="268"/>
      <c r="K20" s="261"/>
      <c r="L20" s="261"/>
      <c r="M20" s="268"/>
      <c r="N20" s="269"/>
      <c r="O20" s="269"/>
      <c r="P20" s="269"/>
      <c r="Q20" s="269"/>
      <c r="R20" s="268"/>
      <c r="S20" s="268"/>
      <c r="T20" s="270"/>
      <c r="U20" s="268"/>
      <c r="V20" s="268"/>
      <c r="W20" s="269"/>
      <c r="X20" s="268"/>
      <c r="Y20" s="268"/>
      <c r="Z20" s="268"/>
      <c r="AA20" s="268"/>
      <c r="AB20" s="269"/>
      <c r="AC20" s="269"/>
      <c r="AD20" s="268"/>
      <c r="AE20" s="269"/>
      <c r="AF20" s="269"/>
      <c r="AG20" s="269"/>
      <c r="AH20" s="269"/>
      <c r="AI20" s="269"/>
      <c r="AJ20" s="268"/>
      <c r="AK20" s="269"/>
      <c r="AL20" s="268"/>
      <c r="AM20" s="271"/>
      <c r="AN20" s="271"/>
      <c r="AO20" s="268"/>
      <c r="AP20" s="272"/>
      <c r="AQ20" s="260"/>
      <c r="AR20" s="260"/>
      <c r="AS20" s="265"/>
    </row>
    <row r="21" spans="1:45" s="258" customFormat="1" ht="15.75" thickBot="1">
      <c r="A21" s="273"/>
      <c r="B21" s="274"/>
      <c r="C21" s="275"/>
      <c r="D21" s="275"/>
      <c r="E21" s="275"/>
      <c r="F21" s="275"/>
      <c r="G21" s="275"/>
      <c r="H21" s="275"/>
      <c r="I21" s="275"/>
      <c r="J21" s="274"/>
      <c r="K21" s="276"/>
      <c r="L21" s="276"/>
      <c r="M21" s="274"/>
      <c r="N21" s="275"/>
      <c r="O21" s="275"/>
      <c r="P21" s="275"/>
      <c r="Q21" s="275"/>
      <c r="R21" s="274"/>
      <c r="S21" s="274"/>
      <c r="T21" s="277"/>
      <c r="U21" s="274"/>
      <c r="V21" s="274"/>
      <c r="W21" s="275"/>
      <c r="X21" s="274"/>
      <c r="Y21" s="274"/>
      <c r="Z21" s="274"/>
      <c r="AA21" s="274"/>
      <c r="AB21" s="275"/>
      <c r="AC21" s="275"/>
      <c r="AD21" s="274"/>
      <c r="AE21" s="275"/>
      <c r="AF21" s="275"/>
      <c r="AG21" s="275"/>
      <c r="AH21" s="275"/>
      <c r="AI21" s="275"/>
      <c r="AJ21" s="274"/>
      <c r="AK21" s="275"/>
      <c r="AL21" s="274"/>
      <c r="AM21" s="274"/>
      <c r="AN21" s="274"/>
      <c r="AO21" s="278"/>
      <c r="AP21" s="279"/>
      <c r="AQ21" s="279"/>
      <c r="AR21" s="279"/>
      <c r="AS21" s="280"/>
    </row>
  </sheetData>
  <mergeCells count="4">
    <mergeCell ref="A1:C1"/>
    <mergeCell ref="H1:J1"/>
    <mergeCell ref="A2:C2"/>
    <mergeCell ref="H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utton1_Click">
                <anchor moveWithCells="1" sizeWithCells="1">
                  <from>
                    <xdr:col>11</xdr:col>
                    <xdr:colOff>104775</xdr:colOff>
                    <xdr:row>0</xdr:row>
                    <xdr:rowOff>38100</xdr:rowOff>
                  </from>
                  <to>
                    <xdr:col>13</xdr:col>
                    <xdr:colOff>152400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Center swags </vt:lpstr>
      <vt:lpstr>Over-under swags</vt:lpstr>
      <vt:lpstr>Over -under swag specs chart</vt:lpstr>
      <vt:lpstr>Sheet1</vt:lpstr>
      <vt:lpstr>Center swg specs chart</vt:lpstr>
      <vt:lpstr>Fabrics-Trims chart</vt:lpstr>
      <vt:lpstr>Small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</dc:creator>
  <cp:lastModifiedBy>pro</cp:lastModifiedBy>
  <dcterms:created xsi:type="dcterms:W3CDTF">2016-03-26T06:43:54Z</dcterms:created>
  <dcterms:modified xsi:type="dcterms:W3CDTF">2016-04-18T08:01:25Z</dcterms:modified>
</cp:coreProperties>
</file>