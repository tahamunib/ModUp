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ro\Documents\"/>
    </mc:Choice>
  </mc:AlternateContent>
  <bookViews>
    <workbookView xWindow="0" yWindow="0" windowWidth="20490" windowHeight="7905"/>
  </bookViews>
  <sheets>
    <sheet name="Small" sheetId="1" r:id="rId1"/>
    <sheet name="Medium" sheetId="2" r:id="rId2"/>
    <sheet name="Large" sheetId="3" r:id="rId3"/>
    <sheet name="Form Resources" sheetId="4" r:id="rId4"/>
    <sheet name="Charts" sheetId="5" r:id="rId5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40" i="5" l="1"/>
  <c r="AF39" i="5"/>
  <c r="AF38" i="5"/>
  <c r="AF37" i="5"/>
  <c r="AF36" i="5"/>
  <c r="BA35" i="5"/>
  <c r="AF35" i="5"/>
  <c r="BA34" i="5"/>
  <c r="AF34" i="5"/>
  <c r="BA33" i="5"/>
  <c r="AF33" i="5"/>
  <c r="BA32" i="5"/>
  <c r="AF32" i="5"/>
  <c r="BA31" i="5"/>
  <c r="AF31" i="5"/>
  <c r="BA30" i="5"/>
  <c r="BA29" i="5"/>
  <c r="BA28" i="5"/>
  <c r="BA27" i="5"/>
  <c r="BA26" i="5"/>
  <c r="AF26" i="5"/>
  <c r="BA25" i="5"/>
  <c r="AF25" i="5"/>
  <c r="BA24" i="5"/>
  <c r="AF24" i="5"/>
  <c r="BA23" i="5"/>
  <c r="AF23" i="5"/>
  <c r="K23" i="5"/>
  <c r="BA22" i="5"/>
  <c r="AF22" i="5"/>
  <c r="K22" i="5"/>
  <c r="AF21" i="5"/>
  <c r="K21" i="5"/>
  <c r="AF20" i="5"/>
  <c r="K20" i="5"/>
  <c r="AF19" i="5"/>
  <c r="K19" i="5"/>
  <c r="BA18" i="5"/>
  <c r="AF18" i="5"/>
  <c r="K18" i="5"/>
  <c r="BA17" i="5"/>
  <c r="AF17" i="5"/>
  <c r="K17" i="5"/>
  <c r="BA16" i="5"/>
  <c r="BA15" i="5"/>
  <c r="BA14" i="5"/>
  <c r="BA13" i="5"/>
  <c r="AF13" i="5"/>
  <c r="BA12" i="5"/>
  <c r="AF12" i="5"/>
  <c r="BA11" i="5"/>
  <c r="AF11" i="5"/>
  <c r="BA10" i="5"/>
  <c r="AF10" i="5"/>
  <c r="K10" i="5"/>
  <c r="BA9" i="5"/>
  <c r="AF9" i="5"/>
  <c r="K9" i="5"/>
  <c r="BA8" i="5"/>
  <c r="AF8" i="5"/>
  <c r="K8" i="5"/>
  <c r="BA7" i="5"/>
  <c r="AF7" i="5"/>
  <c r="K7" i="5"/>
  <c r="BA6" i="5"/>
  <c r="AF6" i="5"/>
  <c r="K6" i="5"/>
  <c r="BA5" i="5"/>
  <c r="AF5" i="5"/>
  <c r="K5" i="5"/>
  <c r="BA4" i="5"/>
  <c r="AF4" i="5"/>
  <c r="K4" i="5"/>
  <c r="AQ13" i="1"/>
  <c r="AP13" i="1"/>
  <c r="AM13" i="1"/>
  <c r="AH13" i="1"/>
  <c r="AS12" i="1"/>
  <c r="AR12" i="1"/>
  <c r="AQ12" i="1"/>
  <c r="AP12" i="1"/>
  <c r="AO12" i="1"/>
  <c r="AN12" i="1"/>
  <c r="AM12" i="1"/>
  <c r="AH12" i="1"/>
  <c r="AS11" i="1"/>
  <c r="AR11" i="1"/>
  <c r="AQ11" i="1"/>
  <c r="AP11" i="1"/>
  <c r="AO11" i="1"/>
  <c r="AN11" i="1"/>
  <c r="AM11" i="1"/>
  <c r="AH11" i="1"/>
  <c r="AS10" i="1"/>
  <c r="AR10" i="1"/>
  <c r="AQ10" i="1"/>
  <c r="AP10" i="1"/>
  <c r="AO10" i="1"/>
  <c r="AN10" i="1"/>
  <c r="AM10" i="1"/>
  <c r="AH10" i="1"/>
  <c r="AQ9" i="1"/>
  <c r="AP9" i="1"/>
  <c r="AO9" i="1"/>
  <c r="AM9" i="1"/>
  <c r="AH9" i="1"/>
  <c r="AH8" i="1"/>
  <c r="AP7" i="1"/>
  <c r="AO7" i="1"/>
  <c r="AH7" i="1"/>
  <c r="AP6" i="1"/>
  <c r="AO6" i="1"/>
  <c r="AH6" i="1"/>
  <c r="AP5" i="1"/>
  <c r="AO5" i="1"/>
  <c r="AH5" i="1"/>
  <c r="AM4" i="1"/>
  <c r="AH4" i="1"/>
  <c r="AO4" i="1"/>
</calcChain>
</file>

<file path=xl/sharedStrings.xml><?xml version="1.0" encoding="utf-8"?>
<sst xmlns="http://schemas.openxmlformats.org/spreadsheetml/2006/main" count="825" uniqueCount="146">
  <si>
    <t>Room Name
(Liv, din, fam, M-bed, Kids, Bath, Hall way, M-bath, Other _____)</t>
  </si>
  <si>
    <t xml:space="preserve">Window location
(north, south, east, </t>
  </si>
  <si>
    <t>"A" Horizonatal size of the window 
(36-</t>
  </si>
  <si>
    <t>"B" 
Vertical space above the window</t>
  </si>
  <si>
    <t>"C" 
Space from floor to the top of the window molding</t>
  </si>
  <si>
    <t>"D"
space on the Left side of the window</t>
  </si>
  <si>
    <t>"E"
space on the right side of the window</t>
  </si>
  <si>
    <t>"F"
Swag Cut out measurment
(Calculated) (=if B=x,G=Y)</t>
  </si>
  <si>
    <t>"G"
Scroll angle measurment
(Calculated) (=if B=x,G=Y)</t>
  </si>
  <si>
    <r>
      <rPr>
        <sz val="8"/>
        <color rgb="FFFF0000"/>
        <rFont val="Arial"/>
      </rPr>
      <t>Combo Type:
French shell crown,
Roman shell crown</t>
    </r>
    <r>
      <rPr>
        <sz val="8"/>
        <color rgb="FF000000"/>
        <rFont val="Arial"/>
      </rPr>
      <t xml:space="preserve"> </t>
    </r>
  </si>
  <si>
    <t>Hardware Color
AG-WC
AG- WOC
AS
ASWC
RG 
RGWC
PS
PSWC</t>
  </si>
  <si>
    <t>Hardware Projection:
3 1/2
5 1/2</t>
  </si>
  <si>
    <t xml:space="preserve">Swag Type
Over swag
Under swag
</t>
  </si>
  <si>
    <t xml:space="preserve">Combine fabrics
"Yes"
</t>
  </si>
  <si>
    <t>Combined swag position
A-Top
B-Bottom
A-Bottom
B-Top</t>
  </si>
  <si>
    <t xml:space="preserve">"A" 
Pattern </t>
  </si>
  <si>
    <t>"A"
Color</t>
  </si>
  <si>
    <t xml:space="preserve">
"B"
Pattern </t>
  </si>
  <si>
    <t xml:space="preserve">
"B"
Color</t>
  </si>
  <si>
    <t>Apply lining?
Yes
No</t>
  </si>
  <si>
    <t xml:space="preserve">"Yes"
Self
Pattern name
</t>
  </si>
  <si>
    <t xml:space="preserve">"Yes"
Lining Color
</t>
  </si>
  <si>
    <t>Apply Trim  
Yes
No</t>
  </si>
  <si>
    <t>"yes"
Trim- 
Pattern</t>
  </si>
  <si>
    <t>"yes"
Trim-  
Color</t>
  </si>
  <si>
    <t>Special Instruction</t>
  </si>
  <si>
    <t>Combonation #A3,#C3
Combonation
 Size
50%-50%</t>
  </si>
  <si>
    <t>Swag positon
Pair</t>
  </si>
  <si>
    <t>Swag Gathering Take up allowance 
2</t>
  </si>
  <si>
    <t>Swags pocket size
1</t>
  </si>
  <si>
    <t>Swags hem size 
.5</t>
  </si>
  <si>
    <t>Fabric Price Group
Refer to Fabrics  specs</t>
  </si>
  <si>
    <t>Fabric Price Group
Refer to Trims  specs</t>
  </si>
  <si>
    <t>single swags top width =
(chart condtions)
MA-(MFx2)/2</t>
  </si>
  <si>
    <t>Swags Dept =(chart condtions)</t>
  </si>
  <si>
    <t># Of Widths
=(chart condtions)</t>
  </si>
  <si>
    <t xml:space="preserve"> Swags Cascade Length 
=(chart conditons)</t>
  </si>
  <si>
    <t xml:space="preserve"> SwagTail Length
=(chart conditions)</t>
  </si>
  <si>
    <t>Combonation #A1
1 width (Self lined )
# of yds  "pattern A"
= (MA-(MG x2) x fullnes +(Swag cascades x2) +(swags take up + swag hem + swags pocket x 2) x number of width)/36x2</t>
  </si>
  <si>
    <t># of yrds Trim on swag
== (Meas A-MF*2) x fullnes +(Swag tail+Swag Takeup x2)*widths/36</t>
  </si>
  <si>
    <r>
      <t>Labor on swag
= # of width (</t>
    </r>
    <r>
      <rPr>
        <b/>
        <sz val="8"/>
        <color theme="8"/>
        <rFont val="Calibri (Body)"/>
      </rPr>
      <t>round up to next even number</t>
    </r>
    <r>
      <rPr>
        <b/>
        <sz val="8"/>
        <color rgb="FFFA7D00"/>
        <rFont val="Calibri"/>
        <family val="2"/>
        <scheme val="minor"/>
      </rPr>
      <t>) X labor of each swag</t>
    </r>
  </si>
  <si>
    <t>Cost of fabrics
Pattern "A"</t>
  </si>
  <si>
    <t>Cost of Fabrics Pattern" B"</t>
  </si>
  <si>
    <t>Cost of trim</t>
  </si>
  <si>
    <t>North</t>
  </si>
  <si>
    <t>Yes</t>
  </si>
  <si>
    <t>Anat</t>
  </si>
  <si>
    <t>Red</t>
  </si>
  <si>
    <t>Steve</t>
  </si>
  <si>
    <t>Green</t>
  </si>
  <si>
    <t>Self</t>
  </si>
  <si>
    <t>Coby</t>
  </si>
  <si>
    <t>None</t>
  </si>
  <si>
    <t>No</t>
  </si>
  <si>
    <t>Nova</t>
  </si>
  <si>
    <t>Blue</t>
  </si>
  <si>
    <t>Roman Leaf</t>
  </si>
  <si>
    <t>Over Swag</t>
  </si>
  <si>
    <t>Test</t>
  </si>
  <si>
    <t>White</t>
  </si>
  <si>
    <t>Test 1</t>
  </si>
  <si>
    <t>Off white</t>
  </si>
  <si>
    <t>Black</t>
  </si>
  <si>
    <t>Dining</t>
  </si>
  <si>
    <t>NA</t>
  </si>
  <si>
    <t>Living</t>
  </si>
  <si>
    <t>Customer Name:___</t>
  </si>
  <si>
    <t>Workroom Name: __</t>
  </si>
  <si>
    <t>Work order written date:__</t>
  </si>
  <si>
    <t>Order due date: ___</t>
  </si>
  <si>
    <t>Fab A -Top, Fab B - Bottom</t>
  </si>
  <si>
    <t>A-100% , B-100%</t>
  </si>
  <si>
    <t>Victorian</t>
  </si>
  <si>
    <t>Under Swag</t>
  </si>
  <si>
    <t>Fab B -Top, Fab A - Bottom</t>
  </si>
  <si>
    <t>South</t>
  </si>
  <si>
    <t>A-50% , B-50%</t>
  </si>
  <si>
    <t>Other</t>
  </si>
  <si>
    <t>French Shell</t>
  </si>
  <si>
    <t>East</t>
  </si>
  <si>
    <t>A-25% , B-75%</t>
  </si>
  <si>
    <t>Roman Shell</t>
  </si>
  <si>
    <t>West</t>
  </si>
  <si>
    <t>Gothic</t>
  </si>
  <si>
    <t>Rose Passion</t>
  </si>
  <si>
    <t>Taha</t>
  </si>
  <si>
    <t>Aba</t>
  </si>
  <si>
    <t>Taupe</t>
  </si>
  <si>
    <t>Burgundy</t>
  </si>
  <si>
    <t>Test1</t>
  </si>
  <si>
    <t>Swag Position Pair</t>
  </si>
  <si>
    <t>Fab A Group = A</t>
  </si>
  <si>
    <t>Bed</t>
  </si>
  <si>
    <t>Orange</t>
  </si>
  <si>
    <t>Lining</t>
  </si>
  <si>
    <t>Test2</t>
  </si>
  <si>
    <t>Test5</t>
  </si>
  <si>
    <t>Test6</t>
  </si>
  <si>
    <t>Liv</t>
  </si>
  <si>
    <r>
      <rPr>
        <b/>
        <sz val="10"/>
        <color rgb="FFFF0000"/>
        <rFont val="Arial"/>
      </rPr>
      <t xml:space="preserve"> "Small"</t>
    </r>
    <r>
      <rPr>
        <b/>
        <sz val="10"/>
        <color rgb="FF000000"/>
        <rFont val="Arial"/>
      </rPr>
      <t xml:space="preserve"> roman leaf crown 5 piece combo</t>
    </r>
  </si>
  <si>
    <r>
      <rPr>
        <b/>
        <sz val="10"/>
        <color rgb="FFFF0000"/>
        <rFont val="Arial"/>
      </rPr>
      <t xml:space="preserve">"Medium" </t>
    </r>
    <r>
      <rPr>
        <b/>
        <sz val="10"/>
        <color rgb="FF000000"/>
        <rFont val="Arial"/>
      </rPr>
      <t>French shell crown 5 piece combo</t>
    </r>
  </si>
  <si>
    <r>
      <rPr>
        <b/>
        <sz val="10"/>
        <color rgb="FFFF0000"/>
        <rFont val="Arial"/>
      </rPr>
      <t xml:space="preserve">"Large" </t>
    </r>
    <r>
      <rPr>
        <b/>
        <sz val="10"/>
        <color rgb="FF000000"/>
        <rFont val="Arial"/>
      </rPr>
      <t>Nova Crown 5 piece combo</t>
    </r>
  </si>
  <si>
    <t>Combo type</t>
  </si>
  <si>
    <t>Swag Type</t>
  </si>
  <si>
    <t xml:space="preserve">"A Minimum"
Horizontal size of window frame </t>
  </si>
  <si>
    <t>"A Maximum"
Horizontal size of window frame</t>
  </si>
  <si>
    <t xml:space="preserve">"B"
Space above the window </t>
  </si>
  <si>
    <t>"C" 
Minimum Space from floor to the top of the window frame</t>
  </si>
  <si>
    <t>"C" Maximum 
Space from floor to the top of the window frame</t>
  </si>
  <si>
    <t xml:space="preserve">"D"
Space need it on Left side of the windows
</t>
  </si>
  <si>
    <t>"E"
Space need it on right side of the windows</t>
  </si>
  <si>
    <t>"F"
Swag Cut out measurments</t>
  </si>
  <si>
    <t>"G"
Scroll angle measurment</t>
  </si>
  <si>
    <t>Fullness Factor</t>
  </si>
  <si>
    <t>"Swag Depth"</t>
  </si>
  <si>
    <t># Of fabric widths</t>
  </si>
  <si>
    <t xml:space="preserve">Scroll Swag Cascade Length
(left or right) </t>
  </si>
  <si>
    <t>Left Scroll swagTail Length
(left or right)</t>
  </si>
  <si>
    <t>Labor per swag</t>
  </si>
  <si>
    <t>Fabric price Group</t>
  </si>
  <si>
    <t>Trim Cost per yard</t>
  </si>
  <si>
    <t>Hardware Color</t>
  </si>
  <si>
    <t>Combo Type</t>
  </si>
  <si>
    <t>"B"
Space above the window frame</t>
  </si>
  <si>
    <t xml:space="preserve">"D"
Space on the Left side of the window frame
</t>
  </si>
  <si>
    <t>"E"
Space on right side of the window frame</t>
  </si>
  <si>
    <t>Fullness Multiplier</t>
  </si>
  <si>
    <t xml:space="preserve">Scroll Swag Cascades Length
(left or right) </t>
  </si>
  <si>
    <t>Roman leaf  crown combo</t>
  </si>
  <si>
    <t>Over swag
Under swag</t>
  </si>
  <si>
    <t>25"</t>
  </si>
  <si>
    <t>PGA= 25
PGB=30
PGC=35
PGD=40</t>
  </si>
  <si>
    <t>PGA= 10
PGB=15
PGC=20
PGD=30</t>
  </si>
  <si>
    <t>AG=Antiqu gold
AS=Antique Silver
RG=Radiant Gold
PS=Platinum Silver                 
OB=Old black</t>
  </si>
  <si>
    <t xml:space="preserve">French shell crown combo
</t>
  </si>
  <si>
    <t>Nova crown combo</t>
  </si>
  <si>
    <r>
      <rPr>
        <b/>
        <sz val="10"/>
        <color rgb="FFFF0000"/>
        <rFont val="Arial"/>
      </rPr>
      <t xml:space="preserve">"Small " </t>
    </r>
    <r>
      <rPr>
        <b/>
        <sz val="10"/>
        <color rgb="FF000000"/>
        <rFont val="Arial"/>
      </rPr>
      <t>Victorian crown 5 piece combo</t>
    </r>
  </si>
  <si>
    <r>
      <rPr>
        <b/>
        <sz val="10"/>
        <color rgb="FFFF0000"/>
        <rFont val="Arial"/>
      </rPr>
      <t>"Medium"</t>
    </r>
    <r>
      <rPr>
        <b/>
        <sz val="10"/>
        <color rgb="FF000000"/>
        <rFont val="Arial"/>
      </rPr>
      <t xml:space="preserve"> Roma shell crown 5 piece combo</t>
    </r>
  </si>
  <si>
    <t>Victorian crown combo</t>
  </si>
  <si>
    <t xml:space="preserve">Roman shell crown combo
</t>
  </si>
  <si>
    <r>
      <rPr>
        <b/>
        <sz val="10"/>
        <color rgb="FFFF0000"/>
        <rFont val="Arial"/>
      </rPr>
      <t xml:space="preserve">"Large" </t>
    </r>
    <r>
      <rPr>
        <b/>
        <sz val="10"/>
        <rFont val="Arial"/>
      </rPr>
      <t xml:space="preserve">Rose passion </t>
    </r>
    <r>
      <rPr>
        <b/>
        <sz val="10"/>
        <color rgb="FF000000"/>
        <rFont val="Arial"/>
      </rPr>
      <t>crown 5 piece combo</t>
    </r>
  </si>
  <si>
    <t>Swag type</t>
  </si>
  <si>
    <t>Rose passion crown combo</t>
  </si>
  <si>
    <r>
      <rPr>
        <b/>
        <sz val="10"/>
        <color rgb="FFFF0000"/>
        <rFont val="Arial"/>
      </rPr>
      <t>"Medium"</t>
    </r>
    <r>
      <rPr>
        <b/>
        <sz val="10"/>
        <color rgb="FF000000"/>
        <rFont val="Arial"/>
      </rPr>
      <t xml:space="preserve"> Gothic crown 5 piece combo</t>
    </r>
  </si>
  <si>
    <t>Swag Cut out measurments</t>
  </si>
  <si>
    <t>Gothic crown Combo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</si>
</sst>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Arial"/>
    </font>
    <font>
      <sz val="8"/>
      <name val="Arial"/>
      <family val="2"/>
    </font>
    <font>
      <sz val="8"/>
      <color rgb="FF000000"/>
      <name val="Arial"/>
    </font>
    <font>
      <sz val="8"/>
      <color rgb="FFFF0000"/>
      <name val="Arial"/>
    </font>
    <font>
      <sz val="8"/>
      <color rgb="FF006100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8"/>
      <name val="Calibri (Body)"/>
    </font>
    <font>
      <sz val="6"/>
      <color rgb="FF000000"/>
      <name val="Arial"/>
    </font>
    <font>
      <b/>
      <sz val="6"/>
      <color rgb="FF000000"/>
      <name val="Arial"/>
    </font>
    <font>
      <sz val="8"/>
      <color theme="8"/>
      <name val="Arial"/>
    </font>
    <font>
      <b/>
      <sz val="10"/>
      <color rgb="FF000000"/>
      <name val="Arial"/>
    </font>
    <font>
      <b/>
      <sz val="10"/>
      <color rgb="FFFF0000"/>
      <name val="Arial"/>
    </font>
    <font>
      <sz val="11"/>
      <color rgb="FF000000"/>
      <name val="Arial"/>
    </font>
    <font>
      <b/>
      <sz val="10"/>
      <name val="Arial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</fills>
  <borders count="2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97">
    <xf numFmtId="0" fontId="0" fillId="0" borderId="0" xfId="0"/>
    <xf numFmtId="0" fontId="4" fillId="4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8" fillId="2" borderId="2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11" fillId="6" borderId="12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>
      <alignment horizontal="left" vertical="center" wrapText="1"/>
    </xf>
    <xf numFmtId="0" fontId="11" fillId="6" borderId="4" xfId="0" applyFont="1" applyFill="1" applyBorder="1" applyAlignment="1">
      <alignment horizontal="left" vertical="center"/>
    </xf>
    <xf numFmtId="0" fontId="11" fillId="6" borderId="6" xfId="0" applyFont="1" applyFill="1" applyBorder="1" applyAlignment="1">
      <alignment horizontal="left" vertical="center"/>
    </xf>
    <xf numFmtId="0" fontId="11" fillId="6" borderId="4" xfId="0" applyFont="1" applyFill="1" applyBorder="1" applyAlignment="1">
      <alignment vertical="center" wrapText="1"/>
    </xf>
    <xf numFmtId="0" fontId="11" fillId="6" borderId="4" xfId="0" applyFont="1" applyFill="1" applyBorder="1" applyAlignment="1">
      <alignment vertical="center"/>
    </xf>
    <xf numFmtId="0" fontId="11" fillId="6" borderId="6" xfId="0" applyFont="1" applyFill="1" applyBorder="1" applyAlignment="1">
      <alignment vertical="center"/>
    </xf>
    <xf numFmtId="0" fontId="6" fillId="6" borderId="5" xfId="0" applyFont="1" applyFill="1" applyBorder="1" applyAlignment="1"/>
    <xf numFmtId="0" fontId="6" fillId="6" borderId="4" xfId="0" applyFont="1" applyFill="1" applyBorder="1" applyAlignment="1"/>
    <xf numFmtId="0" fontId="11" fillId="6" borderId="6" xfId="0" applyFont="1" applyFill="1" applyBorder="1" applyAlignment="1">
      <alignment vertical="center" wrapText="1"/>
    </xf>
    <xf numFmtId="0" fontId="0" fillId="6" borderId="4" xfId="0" applyFont="1" applyFill="1" applyBorder="1" applyAlignment="1">
      <alignment wrapText="1"/>
    </xf>
    <xf numFmtId="0" fontId="0" fillId="6" borderId="4" xfId="0" applyFont="1" applyFill="1" applyBorder="1" applyAlignment="1"/>
    <xf numFmtId="0" fontId="6" fillId="6" borderId="4" xfId="0" applyFont="1" applyFill="1" applyBorder="1" applyAlignment="1">
      <alignment horizontal="left" vertical="center"/>
    </xf>
    <xf numFmtId="0" fontId="6" fillId="6" borderId="6" xfId="0" applyFont="1" applyFill="1" applyBorder="1" applyAlignment="1">
      <alignment horizontal="left" vertical="center"/>
    </xf>
    <xf numFmtId="0" fontId="6" fillId="6" borderId="6" xfId="0" applyFont="1" applyFill="1" applyBorder="1" applyAlignment="1"/>
    <xf numFmtId="0" fontId="12" fillId="6" borderId="4" xfId="0" applyFont="1" applyFill="1" applyBorder="1" applyAlignment="1">
      <alignment horizontal="left"/>
    </xf>
    <xf numFmtId="0" fontId="0" fillId="6" borderId="5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6" borderId="4" xfId="0" applyFont="1" applyFill="1" applyBorder="1" applyAlignment="1">
      <alignment horizontal="center" vertical="center"/>
    </xf>
    <xf numFmtId="43" fontId="12" fillId="6" borderId="4" xfId="1" applyFont="1" applyFill="1" applyBorder="1" applyAlignment="1">
      <alignment vertical="center" wrapText="1"/>
    </xf>
    <xf numFmtId="0" fontId="13" fillId="6" borderId="4" xfId="0" applyFont="1" applyFill="1" applyBorder="1" applyAlignment="1"/>
    <xf numFmtId="0" fontId="0" fillId="6" borderId="14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0" xfId="0" applyFont="1" applyFill="1" applyBorder="1" applyAlignment="1">
      <alignment horizontal="center" vertical="center"/>
    </xf>
    <xf numFmtId="0" fontId="0" fillId="6" borderId="10" xfId="0" applyFont="1" applyFill="1" applyBorder="1" applyAlignment="1"/>
    <xf numFmtId="0" fontId="11" fillId="6" borderId="10" xfId="0" applyFont="1" applyFill="1" applyBorder="1" applyAlignment="1">
      <alignment horizontal="left" vertical="center"/>
    </xf>
    <xf numFmtId="43" fontId="6" fillId="6" borderId="10" xfId="1" applyFont="1" applyFill="1" applyBorder="1" applyAlignment="1">
      <alignment vertical="center"/>
    </xf>
    <xf numFmtId="43" fontId="6" fillId="6" borderId="7" xfId="1" applyFont="1" applyFill="1" applyBorder="1" applyAlignment="1">
      <alignment vertical="center"/>
    </xf>
    <xf numFmtId="0" fontId="4" fillId="4" borderId="3" xfId="0" applyFont="1" applyFill="1" applyBorder="1" applyAlignment="1">
      <alignment horizontal="center" vertical="center" wrapText="1"/>
    </xf>
    <xf numFmtId="0" fontId="6" fillId="4" borderId="15" xfId="0" applyFont="1" applyFill="1" applyBorder="1" applyAlignment="1">
      <alignment horizontal="center" vertical="center" wrapText="1"/>
    </xf>
    <xf numFmtId="0" fontId="9" fillId="3" borderId="16" xfId="3" applyFont="1" applyBorder="1" applyAlignment="1">
      <alignment horizontal="center" vertical="center" wrapText="1"/>
    </xf>
    <xf numFmtId="0" fontId="9" fillId="3" borderId="17" xfId="3" applyFont="1" applyBorder="1" applyAlignment="1">
      <alignment horizontal="center" vertical="center" wrapText="1"/>
    </xf>
    <xf numFmtId="0" fontId="9" fillId="3" borderId="2" xfId="3" applyFont="1" applyBorder="1" applyAlignment="1">
      <alignment horizontal="center" vertical="center" wrapText="1"/>
    </xf>
    <xf numFmtId="0" fontId="9" fillId="3" borderId="18" xfId="3" applyFont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wrapText="1"/>
    </xf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4" fillId="7" borderId="11" xfId="0" applyFont="1" applyFill="1" applyBorder="1" applyAlignment="1">
      <alignment horizontal="center" vertical="center" wrapText="1"/>
    </xf>
    <xf numFmtId="0" fontId="14" fillId="7" borderId="12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4" fillId="7" borderId="11" xfId="0" applyFont="1" applyFill="1" applyBorder="1" applyAlignment="1">
      <alignment horizontal="center" vertical="center"/>
    </xf>
    <xf numFmtId="0" fontId="14" fillId="7" borderId="12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9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10" borderId="4" xfId="0" applyFont="1" applyFill="1" applyBorder="1" applyAlignment="1">
      <alignment horizontal="center" vertical="center"/>
    </xf>
    <xf numFmtId="0" fontId="0" fillId="11" borderId="4" xfId="0" applyFont="1" applyFill="1" applyBorder="1" applyAlignment="1">
      <alignment horizontal="center" vertical="center"/>
    </xf>
    <xf numFmtId="0" fontId="0" fillId="9" borderId="10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0" fillId="10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14" fillId="7" borderId="21" xfId="0" applyFont="1" applyFill="1" applyBorder="1" applyAlignment="1">
      <alignment horizontal="center" vertical="center" wrapText="1"/>
    </xf>
    <xf numFmtId="0" fontId="14" fillId="7" borderId="22" xfId="0" applyFont="1" applyFill="1" applyBorder="1" applyAlignment="1">
      <alignment horizontal="center" vertical="center" wrapText="1"/>
    </xf>
    <xf numFmtId="0" fontId="14" fillId="7" borderId="23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0" fontId="0" fillId="0" borderId="14" xfId="0" applyFont="1" applyFill="1" applyBorder="1" applyAlignment="1">
      <alignment horizontal="center" vertical="center" wrapText="1"/>
    </xf>
  </cellXfs>
  <cellStyles count="4">
    <cellStyle name="Calculation" xfId="3" builtinId="22"/>
    <cellStyle name="Comma" xfId="1" builtinId="3"/>
    <cellStyle name="Good" xfId="2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100634</xdr:colOff>
          <xdr:row>0</xdr:row>
          <xdr:rowOff>41827</xdr:rowOff>
        </xdr:from>
        <xdr:to>
          <xdr:col>13</xdr:col>
          <xdr:colOff>148259</xdr:colOff>
          <xdr:row>1</xdr:row>
          <xdr:rowOff>137077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1"/>
  <sheetViews>
    <sheetView tabSelected="1" zoomScale="115" zoomScaleNormal="115" workbookViewId="0">
      <pane ySplit="3" topLeftCell="A4" activePane="bottomLeft" state="frozen"/>
      <selection pane="bottomLeft" activeCell="A3" sqref="A3"/>
    </sheetView>
  </sheetViews>
  <sheetFormatPr defaultRowHeight="15"/>
  <cols>
    <col min="1" max="1" width="10.28515625" bestFit="1" customWidth="1"/>
    <col min="4" max="4" width="11" customWidth="1"/>
    <col min="32" max="32" width="12.7109375" bestFit="1" customWidth="1"/>
    <col min="39" max="39" width="12.5703125" bestFit="1" customWidth="1"/>
  </cols>
  <sheetData>
    <row r="1" spans="1:45">
      <c r="A1" s="53" t="s">
        <v>66</v>
      </c>
      <c r="B1" s="53"/>
      <c r="C1" s="53"/>
      <c r="H1" s="53" t="s">
        <v>67</v>
      </c>
      <c r="I1" s="53"/>
      <c r="J1" s="53"/>
    </row>
    <row r="2" spans="1:45" ht="15.75" thickBot="1">
      <c r="A2" s="52" t="s">
        <v>68</v>
      </c>
      <c r="B2" s="52"/>
      <c r="C2" s="52"/>
      <c r="H2" s="52" t="s">
        <v>69</v>
      </c>
      <c r="I2" s="52"/>
      <c r="J2" s="52"/>
    </row>
    <row r="3" spans="1:45" ht="162" customHeight="1" thickBot="1">
      <c r="A3" s="43" t="s">
        <v>0</v>
      </c>
      <c r="B3" s="1" t="s">
        <v>1</v>
      </c>
      <c r="C3" s="2" t="s">
        <v>2</v>
      </c>
      <c r="D3" s="2" t="s">
        <v>3</v>
      </c>
      <c r="E3" s="1" t="s">
        <v>4</v>
      </c>
      <c r="F3" s="1" t="s">
        <v>5</v>
      </c>
      <c r="G3" s="1" t="s">
        <v>6</v>
      </c>
      <c r="H3" s="3" t="s">
        <v>7</v>
      </c>
      <c r="I3" s="1" t="s">
        <v>8</v>
      </c>
      <c r="J3" s="44" t="s">
        <v>9</v>
      </c>
      <c r="K3" s="44" t="s">
        <v>10</v>
      </c>
      <c r="L3" s="44" t="s">
        <v>11</v>
      </c>
      <c r="M3" s="4" t="s">
        <v>12</v>
      </c>
      <c r="N3" s="1" t="s">
        <v>13</v>
      </c>
      <c r="O3" s="4" t="s">
        <v>14</v>
      </c>
      <c r="P3" s="4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  <c r="X3" s="1" t="s">
        <v>23</v>
      </c>
      <c r="Y3" s="1" t="s">
        <v>24</v>
      </c>
      <c r="Z3" s="1" t="s">
        <v>25</v>
      </c>
      <c r="AA3" s="5" t="s">
        <v>26</v>
      </c>
      <c r="AB3" s="5" t="s">
        <v>27</v>
      </c>
      <c r="AC3" s="5" t="s">
        <v>28</v>
      </c>
      <c r="AD3" s="5" t="s">
        <v>29</v>
      </c>
      <c r="AE3" s="5" t="s">
        <v>30</v>
      </c>
      <c r="AF3" s="5" t="s">
        <v>31</v>
      </c>
      <c r="AG3" s="5" t="s">
        <v>32</v>
      </c>
      <c r="AH3" s="45" t="s">
        <v>33</v>
      </c>
      <c r="AI3" s="46" t="s">
        <v>34</v>
      </c>
      <c r="AJ3" s="46" t="s">
        <v>35</v>
      </c>
      <c r="AK3" s="46" t="s">
        <v>36</v>
      </c>
      <c r="AL3" s="46" t="s">
        <v>37</v>
      </c>
      <c r="AM3" s="47" t="s">
        <v>38</v>
      </c>
      <c r="AN3" s="47" t="s">
        <v>38</v>
      </c>
      <c r="AO3" s="47" t="s">
        <v>39</v>
      </c>
      <c r="AP3" s="47" t="s">
        <v>40</v>
      </c>
      <c r="AQ3" s="47" t="s">
        <v>41</v>
      </c>
      <c r="AR3" s="47" t="s">
        <v>42</v>
      </c>
      <c r="AS3" s="48" t="s">
        <v>43</v>
      </c>
    </row>
    <row r="4" spans="1:45">
      <c r="A4" s="7" t="s">
        <v>65</v>
      </c>
      <c r="B4" s="8" t="s">
        <v>44</v>
      </c>
      <c r="C4" s="8">
        <v>60</v>
      </c>
      <c r="D4" s="8">
        <v>4</v>
      </c>
      <c r="E4" s="8">
        <v>40</v>
      </c>
      <c r="F4" s="8">
        <v>7</v>
      </c>
      <c r="G4" s="8">
        <v>7</v>
      </c>
      <c r="H4" s="8">
        <v>7</v>
      </c>
      <c r="I4" s="49">
        <v>0</v>
      </c>
      <c r="J4" s="8" t="s">
        <v>56</v>
      </c>
      <c r="K4" s="8" t="s">
        <v>52</v>
      </c>
      <c r="L4" s="8" t="s">
        <v>52</v>
      </c>
      <c r="M4" s="8" t="s">
        <v>57</v>
      </c>
      <c r="N4" s="8" t="s">
        <v>45</v>
      </c>
      <c r="O4" s="8" t="s">
        <v>70</v>
      </c>
      <c r="P4" s="8" t="s">
        <v>58</v>
      </c>
      <c r="Q4" s="8" t="s">
        <v>59</v>
      </c>
      <c r="R4" s="8" t="s">
        <v>58</v>
      </c>
      <c r="S4" s="8" t="s">
        <v>59</v>
      </c>
      <c r="T4" s="8" t="s">
        <v>45</v>
      </c>
      <c r="U4" s="8" t="s">
        <v>50</v>
      </c>
      <c r="V4" s="8" t="s">
        <v>62</v>
      </c>
      <c r="W4" s="8" t="s">
        <v>45</v>
      </c>
      <c r="X4" s="8" t="s">
        <v>58</v>
      </c>
      <c r="Y4" s="8" t="s">
        <v>59</v>
      </c>
      <c r="Z4" s="8" t="s">
        <v>25</v>
      </c>
      <c r="AA4" s="8" t="s">
        <v>71</v>
      </c>
      <c r="AB4" s="8" t="s">
        <v>90</v>
      </c>
      <c r="AC4" s="8">
        <v>2</v>
      </c>
      <c r="AD4" s="8">
        <v>1</v>
      </c>
      <c r="AE4" s="8">
        <v>0.5</v>
      </c>
      <c r="AF4" s="8" t="s">
        <v>91</v>
      </c>
      <c r="AG4" s="8"/>
      <c r="AH4" s="8">
        <f t="shared" ref="AH4:AH9" si="0">(C4-(H4*2))/2</f>
        <v>23</v>
      </c>
      <c r="AI4" s="9">
        <v>25</v>
      </c>
      <c r="AJ4" s="9">
        <v>1</v>
      </c>
      <c r="AK4" s="8">
        <v>20</v>
      </c>
      <c r="AL4" s="8">
        <v>10</v>
      </c>
      <c r="AM4" s="8">
        <f>((C4-(I4*2))*1.5+(AK4*2)+((AC4+AE4+AD4)*2)*AJ4)/36*2</f>
        <v>7.6111111111111107</v>
      </c>
      <c r="AN4" s="8"/>
      <c r="AO4" s="10">
        <f>(((C12-H12*2)*1.5)+(AL12+AC12)*2)*AJ12/36</f>
        <v>4.25</v>
      </c>
      <c r="AP4" s="10"/>
      <c r="AQ4" s="10"/>
      <c r="AR4" s="10"/>
      <c r="AS4" s="11"/>
    </row>
    <row r="5" spans="1:45">
      <c r="A5" s="12" t="s">
        <v>65</v>
      </c>
      <c r="B5" s="13" t="s">
        <v>44</v>
      </c>
      <c r="C5" s="13">
        <v>60</v>
      </c>
      <c r="D5" s="13">
        <v>4</v>
      </c>
      <c r="E5" s="13">
        <v>40</v>
      </c>
      <c r="F5" s="13">
        <v>7</v>
      </c>
      <c r="G5" s="13">
        <v>7</v>
      </c>
      <c r="H5" s="13">
        <v>7</v>
      </c>
      <c r="I5" s="13">
        <v>0</v>
      </c>
      <c r="J5" s="13" t="s">
        <v>56</v>
      </c>
      <c r="K5" s="14" t="s">
        <v>64</v>
      </c>
      <c r="L5" s="14" t="s">
        <v>64</v>
      </c>
      <c r="M5" s="13" t="s">
        <v>57</v>
      </c>
      <c r="N5" s="13" t="s">
        <v>45</v>
      </c>
      <c r="O5" s="13" t="s">
        <v>70</v>
      </c>
      <c r="P5" s="13" t="s">
        <v>58</v>
      </c>
      <c r="Q5" s="13" t="s">
        <v>59</v>
      </c>
      <c r="R5" s="13" t="s">
        <v>58</v>
      </c>
      <c r="S5" s="13" t="s">
        <v>59</v>
      </c>
      <c r="T5" s="13" t="s">
        <v>45</v>
      </c>
      <c r="U5" s="13" t="s">
        <v>77</v>
      </c>
      <c r="V5" s="13"/>
      <c r="W5" s="13" t="s">
        <v>45</v>
      </c>
      <c r="X5" s="13" t="s">
        <v>58</v>
      </c>
      <c r="Y5" s="13" t="s">
        <v>59</v>
      </c>
      <c r="Z5" s="13" t="s">
        <v>25</v>
      </c>
      <c r="AA5" s="13" t="s">
        <v>76</v>
      </c>
      <c r="AB5" s="13" t="s">
        <v>90</v>
      </c>
      <c r="AC5" s="13">
        <v>2</v>
      </c>
      <c r="AD5" s="13">
        <v>1</v>
      </c>
      <c r="AE5" s="13">
        <v>0.5</v>
      </c>
      <c r="AF5" s="13" t="s">
        <v>91</v>
      </c>
      <c r="AG5" s="13"/>
      <c r="AH5" s="15">
        <f t="shared" si="0"/>
        <v>23</v>
      </c>
      <c r="AI5" s="15">
        <v>25</v>
      </c>
      <c r="AJ5" s="15">
        <v>1</v>
      </c>
      <c r="AK5" s="13">
        <v>20</v>
      </c>
      <c r="AL5" s="13">
        <v>10</v>
      </c>
      <c r="AM5" s="16"/>
      <c r="AN5" s="16"/>
      <c r="AO5" s="16">
        <f>(((C5-H5*2)*1.5)+(AL5+AC5)*2)*AJ5/36</f>
        <v>2.5833333333333335</v>
      </c>
      <c r="AP5" s="17">
        <f>ROUND(AJ5*35,2)</f>
        <v>35</v>
      </c>
      <c r="AQ5" s="17"/>
      <c r="AR5" s="17"/>
      <c r="AS5" s="18"/>
    </row>
    <row r="6" spans="1:45">
      <c r="A6" s="12" t="s">
        <v>63</v>
      </c>
      <c r="B6" s="13" t="s">
        <v>44</v>
      </c>
      <c r="C6" s="13">
        <v>60</v>
      </c>
      <c r="D6" s="13">
        <v>4</v>
      </c>
      <c r="E6" s="13">
        <v>40</v>
      </c>
      <c r="F6" s="13">
        <v>7</v>
      </c>
      <c r="G6" s="13">
        <v>7</v>
      </c>
      <c r="H6" s="13">
        <v>7</v>
      </c>
      <c r="I6" s="13">
        <v>0</v>
      </c>
      <c r="J6" s="13" t="s">
        <v>56</v>
      </c>
      <c r="K6" s="14" t="s">
        <v>53</v>
      </c>
      <c r="L6" s="14" t="s">
        <v>53</v>
      </c>
      <c r="M6" s="13" t="s">
        <v>57</v>
      </c>
      <c r="N6" s="13" t="s">
        <v>45</v>
      </c>
      <c r="O6" s="13" t="s">
        <v>70</v>
      </c>
      <c r="P6" s="13" t="s">
        <v>58</v>
      </c>
      <c r="Q6" s="13" t="s">
        <v>59</v>
      </c>
      <c r="R6" s="13" t="s">
        <v>58</v>
      </c>
      <c r="S6" s="13" t="s">
        <v>59</v>
      </c>
      <c r="T6" s="13" t="s">
        <v>45</v>
      </c>
      <c r="U6" s="13" t="s">
        <v>77</v>
      </c>
      <c r="V6" s="13" t="s">
        <v>59</v>
      </c>
      <c r="W6" s="13" t="s">
        <v>45</v>
      </c>
      <c r="X6" s="13" t="s">
        <v>58</v>
      </c>
      <c r="Y6" s="13" t="s">
        <v>59</v>
      </c>
      <c r="Z6" s="13" t="s">
        <v>25</v>
      </c>
      <c r="AA6" s="13" t="s">
        <v>71</v>
      </c>
      <c r="AB6" s="13" t="s">
        <v>90</v>
      </c>
      <c r="AC6" s="13">
        <v>2</v>
      </c>
      <c r="AD6" s="13">
        <v>1</v>
      </c>
      <c r="AE6" s="13">
        <v>0.5</v>
      </c>
      <c r="AF6" s="13" t="s">
        <v>91</v>
      </c>
      <c r="AG6" s="13"/>
      <c r="AH6" s="13">
        <f t="shared" si="0"/>
        <v>23</v>
      </c>
      <c r="AI6" s="15">
        <v>25</v>
      </c>
      <c r="AJ6" s="15">
        <v>1</v>
      </c>
      <c r="AK6" s="13">
        <v>20</v>
      </c>
      <c r="AL6" s="13">
        <v>10</v>
      </c>
      <c r="AM6" s="19"/>
      <c r="AN6" s="19"/>
      <c r="AO6" s="19">
        <f>(((C6-H6*2)*1.5)+(AL6+AC6)*2)*AJ6/36</f>
        <v>2.5833333333333335</v>
      </c>
      <c r="AP6" s="17">
        <f>ROUND(AJ6*35,2)</f>
        <v>35</v>
      </c>
      <c r="AQ6" s="20"/>
      <c r="AR6" s="20"/>
      <c r="AS6" s="21"/>
    </row>
    <row r="7" spans="1:45">
      <c r="A7" s="12" t="s">
        <v>92</v>
      </c>
      <c r="B7" s="13" t="s">
        <v>44</v>
      </c>
      <c r="C7" s="13">
        <v>60</v>
      </c>
      <c r="D7" s="13">
        <v>4</v>
      </c>
      <c r="E7" s="13">
        <v>40</v>
      </c>
      <c r="F7" s="13">
        <v>7</v>
      </c>
      <c r="G7" s="13">
        <v>7</v>
      </c>
      <c r="H7" s="13">
        <v>7</v>
      </c>
      <c r="I7" s="13">
        <v>0</v>
      </c>
      <c r="J7" s="13" t="s">
        <v>56</v>
      </c>
      <c r="K7" s="14" t="s">
        <v>53</v>
      </c>
      <c r="L7" s="14" t="s">
        <v>53</v>
      </c>
      <c r="M7" s="13" t="s">
        <v>57</v>
      </c>
      <c r="N7" s="13" t="s">
        <v>45</v>
      </c>
      <c r="O7" s="13" t="s">
        <v>70</v>
      </c>
      <c r="P7" s="13" t="s">
        <v>58</v>
      </c>
      <c r="Q7" s="13" t="s">
        <v>59</v>
      </c>
      <c r="R7" s="13" t="s">
        <v>58</v>
      </c>
      <c r="S7" s="13" t="s">
        <v>59</v>
      </c>
      <c r="T7" s="13" t="s">
        <v>45</v>
      </c>
      <c r="U7" s="13" t="s">
        <v>77</v>
      </c>
      <c r="V7" s="13" t="s">
        <v>49</v>
      </c>
      <c r="W7" s="13" t="s">
        <v>45</v>
      </c>
      <c r="X7" s="13" t="s">
        <v>58</v>
      </c>
      <c r="Y7" s="13" t="s">
        <v>59</v>
      </c>
      <c r="Z7" s="13" t="s">
        <v>25</v>
      </c>
      <c r="AA7" s="13" t="s">
        <v>71</v>
      </c>
      <c r="AB7" s="13" t="s">
        <v>90</v>
      </c>
      <c r="AC7" s="13">
        <v>2</v>
      </c>
      <c r="AD7" s="13">
        <v>1</v>
      </c>
      <c r="AE7" s="13">
        <v>0.5</v>
      </c>
      <c r="AF7" s="13" t="s">
        <v>91</v>
      </c>
      <c r="AG7" s="13"/>
      <c r="AH7" s="13">
        <f t="shared" si="0"/>
        <v>23</v>
      </c>
      <c r="AI7" s="13">
        <v>25</v>
      </c>
      <c r="AJ7" s="13">
        <v>1</v>
      </c>
      <c r="AK7" s="13">
        <v>20</v>
      </c>
      <c r="AL7" s="13">
        <v>10</v>
      </c>
      <c r="AM7" s="19"/>
      <c r="AN7" s="19"/>
      <c r="AO7" s="19">
        <f>(((C7-H7*2)*1.5)+(AL7+AC7)*2)*AJ7/36</f>
        <v>2.5833333333333335</v>
      </c>
      <c r="AP7" s="17">
        <f>ROUND(AJ7*35,2)</f>
        <v>35</v>
      </c>
      <c r="AQ7" s="20"/>
      <c r="AR7" s="20"/>
      <c r="AS7" s="21"/>
    </row>
    <row r="8" spans="1:45">
      <c r="A8" s="12" t="s">
        <v>92</v>
      </c>
      <c r="B8" s="13" t="s">
        <v>44</v>
      </c>
      <c r="C8" s="13">
        <v>60</v>
      </c>
      <c r="D8" s="13">
        <v>4</v>
      </c>
      <c r="E8" s="13">
        <v>40</v>
      </c>
      <c r="F8" s="13">
        <v>7</v>
      </c>
      <c r="G8" s="13">
        <v>7</v>
      </c>
      <c r="H8" s="13">
        <v>7</v>
      </c>
      <c r="I8" s="13">
        <v>0</v>
      </c>
      <c r="J8" s="13" t="s">
        <v>56</v>
      </c>
      <c r="K8" s="14" t="s">
        <v>53</v>
      </c>
      <c r="L8" s="14" t="s">
        <v>53</v>
      </c>
      <c r="M8" s="13" t="s">
        <v>57</v>
      </c>
      <c r="N8" s="13" t="s">
        <v>45</v>
      </c>
      <c r="O8" s="13" t="s">
        <v>70</v>
      </c>
      <c r="P8" s="13" t="s">
        <v>58</v>
      </c>
      <c r="Q8" s="13" t="s">
        <v>59</v>
      </c>
      <c r="R8" s="13" t="s">
        <v>58</v>
      </c>
      <c r="S8" s="13" t="s">
        <v>59</v>
      </c>
      <c r="T8" s="13" t="s">
        <v>45</v>
      </c>
      <c r="U8" s="13" t="s">
        <v>77</v>
      </c>
      <c r="V8" s="13" t="s">
        <v>93</v>
      </c>
      <c r="W8" s="13" t="s">
        <v>45</v>
      </c>
      <c r="X8" s="13" t="s">
        <v>58</v>
      </c>
      <c r="Y8" s="13" t="s">
        <v>59</v>
      </c>
      <c r="Z8" s="13" t="s">
        <v>25</v>
      </c>
      <c r="AA8" s="13" t="s">
        <v>71</v>
      </c>
      <c r="AB8" s="13" t="s">
        <v>90</v>
      </c>
      <c r="AC8" s="13">
        <v>2</v>
      </c>
      <c r="AD8" s="13">
        <v>1</v>
      </c>
      <c r="AE8" s="13">
        <v>0.5</v>
      </c>
      <c r="AF8" s="13" t="s">
        <v>91</v>
      </c>
      <c r="AG8" s="13"/>
      <c r="AH8" s="13">
        <f t="shared" si="0"/>
        <v>23</v>
      </c>
      <c r="AI8" s="13">
        <v>25</v>
      </c>
      <c r="AJ8" s="13">
        <v>1</v>
      </c>
      <c r="AK8" s="13">
        <v>20</v>
      </c>
      <c r="AL8" s="13">
        <v>10</v>
      </c>
      <c r="AM8" s="19"/>
      <c r="AN8" s="19"/>
      <c r="AO8" s="19"/>
      <c r="AP8" s="17"/>
      <c r="AQ8" s="20"/>
      <c r="AR8" s="20"/>
      <c r="AS8" s="21"/>
    </row>
    <row r="9" spans="1:45">
      <c r="A9" s="22" t="s">
        <v>94</v>
      </c>
      <c r="B9" s="23" t="s">
        <v>44</v>
      </c>
      <c r="C9" s="23">
        <v>60</v>
      </c>
      <c r="D9" s="23">
        <v>4</v>
      </c>
      <c r="E9" s="23">
        <v>40</v>
      </c>
      <c r="F9" s="23">
        <v>7</v>
      </c>
      <c r="G9" s="23">
        <v>7</v>
      </c>
      <c r="H9" s="23">
        <v>7</v>
      </c>
      <c r="I9" s="23">
        <v>0</v>
      </c>
      <c r="J9" s="23" t="s">
        <v>56</v>
      </c>
      <c r="K9" s="14"/>
      <c r="L9" s="14"/>
      <c r="M9" s="23" t="s">
        <v>57</v>
      </c>
      <c r="N9" s="23" t="s">
        <v>45</v>
      </c>
      <c r="O9" s="23" t="s">
        <v>70</v>
      </c>
      <c r="P9" s="23" t="s">
        <v>58</v>
      </c>
      <c r="Q9" s="23" t="s">
        <v>59</v>
      </c>
      <c r="R9" s="23" t="s">
        <v>58</v>
      </c>
      <c r="S9" s="23" t="s">
        <v>59</v>
      </c>
      <c r="T9" s="23" t="s">
        <v>45</v>
      </c>
      <c r="U9" s="23" t="s">
        <v>50</v>
      </c>
      <c r="V9" s="23"/>
      <c r="W9" s="23" t="s">
        <v>45</v>
      </c>
      <c r="X9" s="23" t="s">
        <v>58</v>
      </c>
      <c r="Y9" s="23" t="s">
        <v>59</v>
      </c>
      <c r="Z9" s="23" t="s">
        <v>25</v>
      </c>
      <c r="AA9" s="23" t="s">
        <v>71</v>
      </c>
      <c r="AB9" s="23" t="s">
        <v>90</v>
      </c>
      <c r="AC9" s="23">
        <v>2</v>
      </c>
      <c r="AD9" s="23">
        <v>1</v>
      </c>
      <c r="AE9" s="23">
        <v>0.5</v>
      </c>
      <c r="AF9" s="23" t="s">
        <v>91</v>
      </c>
      <c r="AG9" s="23"/>
      <c r="AH9" s="13">
        <f t="shared" si="0"/>
        <v>23</v>
      </c>
      <c r="AI9" s="23">
        <v>25</v>
      </c>
      <c r="AJ9" s="23">
        <v>1</v>
      </c>
      <c r="AK9" s="23">
        <v>20</v>
      </c>
      <c r="AL9" s="23">
        <v>10</v>
      </c>
      <c r="AM9" s="19">
        <f>((C9-(I9*2))*1.5+(AK9*2)+((AC9+AE9+AD9)*2)*AJ9)/36*2</f>
        <v>7.6111111111111107</v>
      </c>
      <c r="AN9" s="19"/>
      <c r="AO9" s="19">
        <f>(((C9-H9*2)*1.5)+(AL9+AC9)*2)*AJ9/36</f>
        <v>2.5833333333333335</v>
      </c>
      <c r="AP9" s="17">
        <f>ROUND(AJ9*35,2)</f>
        <v>35</v>
      </c>
      <c r="AQ9" s="19">
        <f>7.61111111111111*25</f>
        <v>190.27777777777774</v>
      </c>
      <c r="AR9" s="19"/>
      <c r="AS9" s="24"/>
    </row>
    <row r="10" spans="1:45">
      <c r="A10" s="22" t="s">
        <v>95</v>
      </c>
      <c r="B10" s="23" t="s">
        <v>44</v>
      </c>
      <c r="C10" s="23">
        <v>100</v>
      </c>
      <c r="D10" s="23">
        <v>10</v>
      </c>
      <c r="E10" s="23">
        <v>96</v>
      </c>
      <c r="F10" s="23">
        <v>4</v>
      </c>
      <c r="G10" s="23">
        <v>4</v>
      </c>
      <c r="H10" s="23">
        <v>7</v>
      </c>
      <c r="I10" s="23">
        <v>3</v>
      </c>
      <c r="J10" s="23" t="s">
        <v>56</v>
      </c>
      <c r="K10" s="25" t="s">
        <v>95</v>
      </c>
      <c r="L10" s="25" t="s">
        <v>95</v>
      </c>
      <c r="M10" s="23" t="s">
        <v>57</v>
      </c>
      <c r="N10" s="23" t="s">
        <v>45</v>
      </c>
      <c r="O10" s="23" t="s">
        <v>70</v>
      </c>
      <c r="P10" s="23" t="s">
        <v>58</v>
      </c>
      <c r="Q10" s="23" t="s">
        <v>59</v>
      </c>
      <c r="R10" s="23" t="s">
        <v>58</v>
      </c>
      <c r="S10" s="23" t="s">
        <v>59</v>
      </c>
      <c r="T10" s="23" t="s">
        <v>45</v>
      </c>
      <c r="U10" s="23" t="s">
        <v>50</v>
      </c>
      <c r="V10" s="23" t="s">
        <v>95</v>
      </c>
      <c r="W10" s="23" t="s">
        <v>45</v>
      </c>
      <c r="X10" s="23" t="s">
        <v>58</v>
      </c>
      <c r="Y10" s="23" t="s">
        <v>59</v>
      </c>
      <c r="Z10" s="23" t="s">
        <v>25</v>
      </c>
      <c r="AA10" s="23" t="s">
        <v>71</v>
      </c>
      <c r="AB10" s="23" t="s">
        <v>90</v>
      </c>
      <c r="AC10" s="23">
        <v>2</v>
      </c>
      <c r="AD10" s="23">
        <v>1</v>
      </c>
      <c r="AE10" s="23">
        <v>0.5</v>
      </c>
      <c r="AF10" s="23" t="s">
        <v>91</v>
      </c>
      <c r="AG10" s="23"/>
      <c r="AH10" s="23">
        <f>(C10-(H10*2))/2</f>
        <v>43</v>
      </c>
      <c r="AI10" s="23">
        <v>25</v>
      </c>
      <c r="AJ10" s="23">
        <v>1</v>
      </c>
      <c r="AK10" s="23">
        <v>20</v>
      </c>
      <c r="AL10" s="23">
        <v>10</v>
      </c>
      <c r="AM10" s="19">
        <f>((C10-(I10*2))*1.5+(AK10*2)+((AC10+AE10+AD10)*2)*AJ10)/36</f>
        <v>5.2222222222222223</v>
      </c>
      <c r="AN10" s="19">
        <f>((C10-(I10*2))*1.5+(AK10*2)+((AC10+AE10+AD10)*2)*AJ10)/36</f>
        <v>5.2222222222222223</v>
      </c>
      <c r="AO10" s="19">
        <f>(((C10-H10*2)*1.5)+(AL10+AC10)*2)*AJ10/36</f>
        <v>4.25</v>
      </c>
      <c r="AP10" s="17">
        <f>ROUND(AJ10*35,2)</f>
        <v>35</v>
      </c>
      <c r="AQ10" s="17">
        <f>5.22222222222222*25</f>
        <v>130.55555555555549</v>
      </c>
      <c r="AR10" s="17">
        <f>5.22222222222222*25</f>
        <v>130.55555555555549</v>
      </c>
      <c r="AS10" s="18">
        <f>5.22222222222222*10</f>
        <v>52.2222222222222</v>
      </c>
    </row>
    <row r="11" spans="1:45">
      <c r="A11" s="22" t="s">
        <v>96</v>
      </c>
      <c r="B11" s="23" t="s">
        <v>44</v>
      </c>
      <c r="C11" s="23">
        <v>100</v>
      </c>
      <c r="D11" s="23">
        <v>10</v>
      </c>
      <c r="E11" s="23">
        <v>40</v>
      </c>
      <c r="F11" s="23">
        <v>4</v>
      </c>
      <c r="G11" s="23">
        <v>4</v>
      </c>
      <c r="H11" s="23">
        <v>7</v>
      </c>
      <c r="I11" s="23">
        <v>3</v>
      </c>
      <c r="J11" s="23" t="s">
        <v>56</v>
      </c>
      <c r="K11" s="26" t="s">
        <v>96</v>
      </c>
      <c r="L11" s="26" t="s">
        <v>96</v>
      </c>
      <c r="M11" s="23" t="s">
        <v>57</v>
      </c>
      <c r="N11" s="23" t="s">
        <v>45</v>
      </c>
      <c r="O11" s="23" t="s">
        <v>70</v>
      </c>
      <c r="P11" s="23" t="s">
        <v>58</v>
      </c>
      <c r="Q11" s="23" t="s">
        <v>59</v>
      </c>
      <c r="R11" s="23" t="s">
        <v>58</v>
      </c>
      <c r="S11" s="23" t="s">
        <v>59</v>
      </c>
      <c r="T11" s="23" t="s">
        <v>45</v>
      </c>
      <c r="U11" s="23" t="s">
        <v>50</v>
      </c>
      <c r="V11" s="23" t="s">
        <v>96</v>
      </c>
      <c r="W11" s="23" t="s">
        <v>45</v>
      </c>
      <c r="X11" s="23" t="s">
        <v>58</v>
      </c>
      <c r="Y11" s="23" t="s">
        <v>59</v>
      </c>
      <c r="Z11" s="23" t="s">
        <v>25</v>
      </c>
      <c r="AA11" s="23" t="s">
        <v>71</v>
      </c>
      <c r="AB11" s="23" t="s">
        <v>90</v>
      </c>
      <c r="AC11" s="23">
        <v>2</v>
      </c>
      <c r="AD11" s="23">
        <v>1</v>
      </c>
      <c r="AE11" s="23">
        <v>0.5</v>
      </c>
      <c r="AF11" s="23" t="s">
        <v>91</v>
      </c>
      <c r="AG11" s="23"/>
      <c r="AH11" s="23">
        <f>(C11-(H11*2))/2</f>
        <v>43</v>
      </c>
      <c r="AI11" s="23">
        <v>25</v>
      </c>
      <c r="AJ11" s="23">
        <v>1</v>
      </c>
      <c r="AK11" s="23">
        <v>20</v>
      </c>
      <c r="AL11" s="23">
        <v>10</v>
      </c>
      <c r="AM11" s="19">
        <f>((C11-(I11*2))*1.5+(AK11*2)+((AC11+AE11+AD11)*2)*AJ11)/36</f>
        <v>5.2222222222222223</v>
      </c>
      <c r="AN11" s="19">
        <f>((C11-(I11*2))*1.5+(AK11*2)+((AC11+AE11+AD11)*2)*AJ11)/36</f>
        <v>5.2222222222222223</v>
      </c>
      <c r="AO11" s="19">
        <f>(((C11-H11*2)*1.5)+(AL11+AC11)*2)*AJ11/36</f>
        <v>4.25</v>
      </c>
      <c r="AP11" s="17">
        <f>ROUND(AJ11*35,2)</f>
        <v>35</v>
      </c>
      <c r="AQ11" s="17">
        <f>5.22222222222222*25</f>
        <v>130.55555555555549</v>
      </c>
      <c r="AR11" s="17">
        <f>5.22222222222222*25</f>
        <v>130.55555555555549</v>
      </c>
      <c r="AS11" s="18">
        <f>5.22222222222222*10</f>
        <v>52.2222222222222</v>
      </c>
    </row>
    <row r="12" spans="1:45">
      <c r="A12" s="22" t="s">
        <v>97</v>
      </c>
      <c r="B12" s="23" t="s">
        <v>44</v>
      </c>
      <c r="C12" s="23">
        <v>100</v>
      </c>
      <c r="D12" s="23">
        <v>10</v>
      </c>
      <c r="E12" s="23">
        <v>40</v>
      </c>
      <c r="F12" s="23">
        <v>4</v>
      </c>
      <c r="G12" s="23">
        <v>4</v>
      </c>
      <c r="H12" s="23">
        <v>7</v>
      </c>
      <c r="I12" s="23">
        <v>3</v>
      </c>
      <c r="J12" s="23" t="s">
        <v>56</v>
      </c>
      <c r="K12" s="26" t="s">
        <v>97</v>
      </c>
      <c r="L12" s="26" t="s">
        <v>97</v>
      </c>
      <c r="M12" s="23" t="s">
        <v>57</v>
      </c>
      <c r="N12" s="23" t="s">
        <v>45</v>
      </c>
      <c r="O12" s="23" t="s">
        <v>70</v>
      </c>
      <c r="P12" s="23" t="s">
        <v>58</v>
      </c>
      <c r="Q12" s="23" t="s">
        <v>59</v>
      </c>
      <c r="R12" s="23" t="s">
        <v>58</v>
      </c>
      <c r="S12" s="23" t="s">
        <v>59</v>
      </c>
      <c r="T12" s="23" t="s">
        <v>45</v>
      </c>
      <c r="U12" s="23" t="s">
        <v>50</v>
      </c>
      <c r="V12" s="23" t="s">
        <v>97</v>
      </c>
      <c r="W12" s="23" t="s">
        <v>45</v>
      </c>
      <c r="X12" s="23" t="s">
        <v>58</v>
      </c>
      <c r="Y12" s="23" t="s">
        <v>59</v>
      </c>
      <c r="Z12" s="23" t="s">
        <v>25</v>
      </c>
      <c r="AA12" s="23" t="s">
        <v>71</v>
      </c>
      <c r="AB12" s="23" t="s">
        <v>90</v>
      </c>
      <c r="AC12" s="23">
        <v>2</v>
      </c>
      <c r="AD12" s="23">
        <v>1</v>
      </c>
      <c r="AE12" s="23">
        <v>0.5</v>
      </c>
      <c r="AF12" s="23" t="s">
        <v>91</v>
      </c>
      <c r="AG12" s="23"/>
      <c r="AH12" s="23">
        <f>(C12-(H12*2))/2</f>
        <v>43</v>
      </c>
      <c r="AI12" s="23">
        <v>25</v>
      </c>
      <c r="AJ12" s="23">
        <v>1</v>
      </c>
      <c r="AK12" s="23">
        <v>20</v>
      </c>
      <c r="AL12" s="23">
        <v>10</v>
      </c>
      <c r="AM12" s="19">
        <f>((C12-(I12*2))*1.5+(AK12*2)+((AC12+AE12+AD12)*2)*AJ12)/36</f>
        <v>5.2222222222222223</v>
      </c>
      <c r="AN12" s="19">
        <f>((C12-(I12*2))*1.5+(AK12*2)+((AC12+AE12+AD12)*2)*AJ12)/36</f>
        <v>5.2222222222222223</v>
      </c>
      <c r="AO12" s="19">
        <f>(((C12-H12*2)*1.5)+(AL12+AC12)*2)*AJ12/36</f>
        <v>4.25</v>
      </c>
      <c r="AP12" s="27">
        <f>ROUND(AJ12*35,2)</f>
        <v>35</v>
      </c>
      <c r="AQ12" s="27">
        <f>5.22222222222222*25</f>
        <v>130.55555555555549</v>
      </c>
      <c r="AR12" s="27">
        <f>5.22222222222222*25</f>
        <v>130.55555555555549</v>
      </c>
      <c r="AS12" s="28">
        <f>5.22222222222222*10</f>
        <v>52.2222222222222</v>
      </c>
    </row>
    <row r="13" spans="1:45">
      <c r="A13" s="22" t="s">
        <v>98</v>
      </c>
      <c r="B13" s="23" t="s">
        <v>44</v>
      </c>
      <c r="C13" s="23">
        <v>60</v>
      </c>
      <c r="D13" s="23">
        <v>4</v>
      </c>
      <c r="E13" s="23">
        <v>40</v>
      </c>
      <c r="F13" s="23">
        <v>7</v>
      </c>
      <c r="G13" s="23">
        <v>7</v>
      </c>
      <c r="H13" s="23">
        <v>7</v>
      </c>
      <c r="I13" s="23">
        <v>0</v>
      </c>
      <c r="J13" s="23" t="s">
        <v>56</v>
      </c>
      <c r="K13" s="26"/>
      <c r="L13" s="26"/>
      <c r="M13" s="23" t="s">
        <v>57</v>
      </c>
      <c r="N13" s="23" t="s">
        <v>53</v>
      </c>
      <c r="O13" s="23"/>
      <c r="P13" s="23" t="s">
        <v>58</v>
      </c>
      <c r="Q13" s="23" t="s">
        <v>59</v>
      </c>
      <c r="R13" s="23"/>
      <c r="S13" s="23"/>
      <c r="T13" s="23" t="s">
        <v>45</v>
      </c>
      <c r="U13" s="23" t="s">
        <v>50</v>
      </c>
      <c r="V13" s="23"/>
      <c r="W13" s="23" t="s">
        <v>53</v>
      </c>
      <c r="X13" s="23"/>
      <c r="Y13" s="23"/>
      <c r="Z13" s="23" t="s">
        <v>25</v>
      </c>
      <c r="AA13" s="23"/>
      <c r="AB13" s="23" t="s">
        <v>90</v>
      </c>
      <c r="AC13" s="23">
        <v>2</v>
      </c>
      <c r="AD13" s="23">
        <v>1</v>
      </c>
      <c r="AE13" s="23">
        <v>0.5</v>
      </c>
      <c r="AF13" s="23" t="s">
        <v>91</v>
      </c>
      <c r="AG13" s="23"/>
      <c r="AH13" s="23">
        <f>(C13-(H13*2))/2</f>
        <v>23</v>
      </c>
      <c r="AI13" s="23">
        <v>25</v>
      </c>
      <c r="AJ13" s="23">
        <v>1</v>
      </c>
      <c r="AK13" s="23">
        <v>20</v>
      </c>
      <c r="AL13" s="23">
        <v>10</v>
      </c>
      <c r="AM13" s="16">
        <f>ROUND(((C13-(I13*2))*1.5+(AK13*2)+((AC13+AE13+AD13)*2)*AJ13)/36*2,4)</f>
        <v>7.6111000000000004</v>
      </c>
      <c r="AN13" s="16"/>
      <c r="AO13" s="17"/>
      <c r="AP13" s="23">
        <f>ROUND(AJ13*35,2)</f>
        <v>35</v>
      </c>
      <c r="AQ13" s="23">
        <f>7.6111*25</f>
        <v>190.2775</v>
      </c>
      <c r="AR13" s="23"/>
      <c r="AS13" s="29"/>
    </row>
    <row r="14" spans="1:45">
      <c r="A14" s="22"/>
      <c r="B14" s="23"/>
      <c r="C14" s="23"/>
      <c r="D14" s="23"/>
      <c r="E14" s="23"/>
      <c r="F14" s="23"/>
      <c r="G14" s="23"/>
      <c r="H14" s="23"/>
      <c r="I14" s="23"/>
      <c r="J14" s="23"/>
      <c r="K14" s="26"/>
      <c r="L14" s="26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16"/>
      <c r="AN14" s="16"/>
      <c r="AO14" s="17"/>
      <c r="AP14" s="23"/>
      <c r="AQ14" s="23"/>
      <c r="AR14" s="23"/>
      <c r="AS14" s="29"/>
    </row>
    <row r="15" spans="1:45">
      <c r="A15" s="22"/>
      <c r="B15" s="23"/>
      <c r="C15" s="23"/>
      <c r="D15" s="23"/>
      <c r="E15" s="23"/>
      <c r="F15" s="23"/>
      <c r="G15" s="23"/>
      <c r="H15" s="23"/>
      <c r="I15" s="23"/>
      <c r="J15" s="23"/>
      <c r="K15" s="26"/>
      <c r="L15" s="26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16"/>
      <c r="AN15" s="16"/>
      <c r="AO15" s="17"/>
      <c r="AP15" s="23"/>
      <c r="AQ15" s="23"/>
      <c r="AR15" s="23"/>
      <c r="AS15" s="29"/>
    </row>
    <row r="16" spans="1:45">
      <c r="A16" s="22"/>
      <c r="B16" s="23"/>
      <c r="C16" s="23"/>
      <c r="D16" s="23"/>
      <c r="E16" s="23"/>
      <c r="F16" s="23"/>
      <c r="G16" s="23"/>
      <c r="H16" s="23"/>
      <c r="I16" s="23"/>
      <c r="J16" s="23"/>
      <c r="K16" s="26"/>
      <c r="L16" s="26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16"/>
      <c r="AN16" s="16"/>
      <c r="AO16" s="30"/>
      <c r="AP16" s="23"/>
      <c r="AQ16" s="23"/>
      <c r="AR16" s="23"/>
      <c r="AS16" s="29"/>
    </row>
    <row r="17" spans="1:45">
      <c r="A17" s="22"/>
      <c r="B17" s="23"/>
      <c r="C17" s="23"/>
      <c r="D17" s="23"/>
      <c r="E17" s="23"/>
      <c r="F17" s="23"/>
      <c r="G17" s="23"/>
      <c r="H17" s="23"/>
      <c r="I17" s="23"/>
      <c r="J17" s="23"/>
      <c r="K17" s="26"/>
      <c r="L17" s="26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16"/>
      <c r="AN17" s="16"/>
      <c r="AO17" s="17"/>
      <c r="AP17" s="23"/>
      <c r="AQ17" s="23"/>
      <c r="AR17" s="23"/>
      <c r="AS17" s="29"/>
    </row>
    <row r="18" spans="1:45">
      <c r="A18" s="22"/>
      <c r="B18" s="23"/>
      <c r="C18" s="23"/>
      <c r="D18" s="23"/>
      <c r="E18" s="23"/>
      <c r="F18" s="23"/>
      <c r="G18" s="23"/>
      <c r="H18" s="23"/>
      <c r="I18" s="23"/>
      <c r="J18" s="23"/>
      <c r="K18" s="26"/>
      <c r="L18" s="26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16"/>
      <c r="AN18" s="16"/>
      <c r="AO18" s="17"/>
      <c r="AP18" s="23"/>
      <c r="AQ18" s="23"/>
      <c r="AR18" s="23"/>
      <c r="AS18" s="29"/>
    </row>
    <row r="19" spans="1:45">
      <c r="A19" s="22"/>
      <c r="B19" s="23"/>
      <c r="C19" s="23"/>
      <c r="D19" s="23"/>
      <c r="E19" s="23"/>
      <c r="F19" s="23"/>
      <c r="G19" s="23"/>
      <c r="H19" s="23"/>
      <c r="I19" s="23"/>
      <c r="J19" s="23"/>
      <c r="K19" s="26"/>
      <c r="L19" s="26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16"/>
      <c r="AN19" s="16"/>
      <c r="AO19" s="17"/>
      <c r="AP19" s="23"/>
      <c r="AQ19" s="23"/>
      <c r="AR19" s="23"/>
      <c r="AS19" s="29"/>
    </row>
    <row r="20" spans="1:45">
      <c r="A20" s="31"/>
      <c r="B20" s="32"/>
      <c r="C20" s="33"/>
      <c r="D20" s="33"/>
      <c r="E20" s="33"/>
      <c r="F20" s="33"/>
      <c r="G20" s="33"/>
      <c r="H20" s="33"/>
      <c r="I20" s="33"/>
      <c r="J20" s="32"/>
      <c r="K20" s="26"/>
      <c r="L20" s="26"/>
      <c r="M20" s="32"/>
      <c r="N20" s="33"/>
      <c r="O20" s="33"/>
      <c r="P20" s="33"/>
      <c r="Q20" s="33"/>
      <c r="R20" s="32"/>
      <c r="S20" s="32"/>
      <c r="T20" s="32"/>
      <c r="U20" s="32"/>
      <c r="V20" s="32"/>
      <c r="W20" s="33"/>
      <c r="X20" s="32"/>
      <c r="Y20" s="32"/>
      <c r="Z20" s="32"/>
      <c r="AA20" s="32"/>
      <c r="AB20" s="33"/>
      <c r="AC20" s="33"/>
      <c r="AD20" s="32"/>
      <c r="AE20" s="33"/>
      <c r="AF20" s="33"/>
      <c r="AG20" s="33"/>
      <c r="AH20" s="33"/>
      <c r="AI20" s="33"/>
      <c r="AJ20" s="32"/>
      <c r="AK20" s="33"/>
      <c r="AL20" s="32"/>
      <c r="AM20" s="34"/>
      <c r="AN20" s="34"/>
      <c r="AO20" s="32"/>
      <c r="AP20" s="35"/>
      <c r="AQ20" s="23"/>
      <c r="AR20" s="23"/>
      <c r="AS20" s="29"/>
    </row>
    <row r="21" spans="1:45" ht="15.75" thickBot="1">
      <c r="A21" s="36"/>
      <c r="B21" s="37"/>
      <c r="C21" s="38"/>
      <c r="D21" s="38"/>
      <c r="E21" s="38"/>
      <c r="F21" s="38"/>
      <c r="G21" s="38"/>
      <c r="H21" s="38"/>
      <c r="I21" s="38"/>
      <c r="J21" s="37"/>
      <c r="K21" s="39"/>
      <c r="L21" s="39"/>
      <c r="M21" s="37"/>
      <c r="N21" s="38"/>
      <c r="O21" s="38"/>
      <c r="P21" s="38"/>
      <c r="Q21" s="38"/>
      <c r="R21" s="37"/>
      <c r="S21" s="37"/>
      <c r="T21" s="37"/>
      <c r="U21" s="37"/>
      <c r="V21" s="37"/>
      <c r="W21" s="38"/>
      <c r="X21" s="37"/>
      <c r="Y21" s="37"/>
      <c r="Z21" s="37"/>
      <c r="AA21" s="37"/>
      <c r="AB21" s="38"/>
      <c r="AC21" s="38"/>
      <c r="AD21" s="37"/>
      <c r="AE21" s="38"/>
      <c r="AF21" s="38"/>
      <c r="AG21" s="38"/>
      <c r="AH21" s="38"/>
      <c r="AI21" s="38"/>
      <c r="AJ21" s="37"/>
      <c r="AK21" s="38"/>
      <c r="AL21" s="37"/>
      <c r="AM21" s="37"/>
      <c r="AN21" s="37"/>
      <c r="AO21" s="40"/>
      <c r="AP21" s="41"/>
      <c r="AQ21" s="41"/>
      <c r="AR21" s="41"/>
      <c r="AS21" s="42"/>
    </row>
  </sheetData>
  <mergeCells count="4">
    <mergeCell ref="A2:C2"/>
    <mergeCell ref="A1:C1"/>
    <mergeCell ref="H1:J1"/>
    <mergeCell ref="H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11</xdr:col>
                    <xdr:colOff>104775</xdr:colOff>
                    <xdr:row>0</xdr:row>
                    <xdr:rowOff>38100</xdr:rowOff>
                  </from>
                  <to>
                    <xdr:col>13</xdr:col>
                    <xdr:colOff>152400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>
      <selection activeCell="D6" sqref="D6"/>
    </sheetView>
  </sheetViews>
  <sheetFormatPr defaultRowHeight="15"/>
  <cols>
    <col min="1" max="1" width="12.42578125" bestFit="1" customWidth="1"/>
    <col min="2" max="2" width="11.42578125" bestFit="1" customWidth="1"/>
    <col min="3" max="3" width="24.5703125" bestFit="1" customWidth="1"/>
    <col min="5" max="5" width="15.5703125" bestFit="1" customWidth="1"/>
  </cols>
  <sheetData>
    <row r="1" spans="1:12">
      <c r="A1" t="s">
        <v>56</v>
      </c>
      <c r="B1" t="s">
        <v>57</v>
      </c>
      <c r="C1" t="s">
        <v>70</v>
      </c>
      <c r="D1" t="s">
        <v>44</v>
      </c>
      <c r="E1" t="s">
        <v>71</v>
      </c>
      <c r="F1" t="s">
        <v>50</v>
      </c>
      <c r="G1">
        <v>1</v>
      </c>
      <c r="H1">
        <v>0.5</v>
      </c>
      <c r="I1" s="6" t="s">
        <v>58</v>
      </c>
      <c r="J1" s="6" t="s">
        <v>59</v>
      </c>
      <c r="K1" s="6" t="s">
        <v>58</v>
      </c>
      <c r="L1" s="6" t="s">
        <v>59</v>
      </c>
    </row>
    <row r="2" spans="1:12" ht="19.5" customHeight="1">
      <c r="A2" t="s">
        <v>72</v>
      </c>
      <c r="B2" t="s">
        <v>73</v>
      </c>
      <c r="C2" t="s">
        <v>74</v>
      </c>
      <c r="D2" t="s">
        <v>75</v>
      </c>
      <c r="E2" t="s">
        <v>76</v>
      </c>
      <c r="F2" t="s">
        <v>77</v>
      </c>
      <c r="G2">
        <v>2</v>
      </c>
      <c r="H2">
        <v>1</v>
      </c>
      <c r="I2" s="51" t="s">
        <v>60</v>
      </c>
      <c r="J2" s="51" t="s">
        <v>61</v>
      </c>
      <c r="K2" s="6" t="s">
        <v>89</v>
      </c>
      <c r="L2" s="6" t="s">
        <v>61</v>
      </c>
    </row>
    <row r="3" spans="1:12">
      <c r="A3" t="s">
        <v>78</v>
      </c>
      <c r="D3" t="s">
        <v>79</v>
      </c>
      <c r="E3" t="s">
        <v>80</v>
      </c>
      <c r="G3">
        <v>3</v>
      </c>
      <c r="H3">
        <v>1.5</v>
      </c>
      <c r="I3" s="6" t="s">
        <v>48</v>
      </c>
      <c r="J3" s="6" t="s">
        <v>49</v>
      </c>
    </row>
    <row r="4" spans="1:12">
      <c r="A4" t="s">
        <v>81</v>
      </c>
      <c r="D4" t="s">
        <v>82</v>
      </c>
      <c r="G4">
        <v>4</v>
      </c>
      <c r="H4">
        <v>2</v>
      </c>
      <c r="I4" s="6" t="s">
        <v>85</v>
      </c>
      <c r="J4" s="6" t="s">
        <v>55</v>
      </c>
    </row>
    <row r="5" spans="1:12">
      <c r="A5" t="s">
        <v>83</v>
      </c>
      <c r="G5">
        <v>5</v>
      </c>
      <c r="H5">
        <v>2.5</v>
      </c>
      <c r="I5" s="6" t="s">
        <v>46</v>
      </c>
      <c r="J5" s="6" t="s">
        <v>47</v>
      </c>
    </row>
    <row r="6" spans="1:12">
      <c r="A6" t="s">
        <v>54</v>
      </c>
      <c r="G6">
        <v>6</v>
      </c>
      <c r="H6">
        <v>3</v>
      </c>
      <c r="I6" s="6" t="s">
        <v>86</v>
      </c>
      <c r="J6" s="6" t="s">
        <v>87</v>
      </c>
    </row>
    <row r="7" spans="1:12" ht="30">
      <c r="A7" t="s">
        <v>84</v>
      </c>
      <c r="I7" s="6" t="s">
        <v>51</v>
      </c>
      <c r="J7" s="6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P42"/>
  <sheetViews>
    <sheetView zoomScale="85" zoomScaleNormal="85" workbookViewId="0"/>
  </sheetViews>
  <sheetFormatPr defaultRowHeight="15"/>
  <sheetData>
    <row r="1" spans="1:68" ht="15.75" thickBo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5"/>
      <c r="R1" s="50"/>
      <c r="S1" s="50"/>
      <c r="T1" s="50"/>
      <c r="U1" s="50"/>
      <c r="V1" s="50"/>
      <c r="W1" s="50"/>
      <c r="X1" s="56"/>
      <c r="Y1" s="56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6"/>
      <c r="AL1" s="56"/>
      <c r="AM1" s="56"/>
      <c r="AN1" s="56"/>
      <c r="AO1" s="56"/>
      <c r="AP1" s="56"/>
      <c r="AQ1" s="56"/>
      <c r="AR1" s="56"/>
      <c r="AS1" s="50"/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</row>
    <row r="2" spans="1:68" ht="15.75" thickBot="1">
      <c r="A2" s="57" t="s">
        <v>99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9"/>
      <c r="U2" s="56"/>
      <c r="V2" s="57" t="s">
        <v>100</v>
      </c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60"/>
      <c r="AP2" s="56"/>
      <c r="AQ2" s="61" t="s">
        <v>101</v>
      </c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3"/>
      <c r="BK2" s="50"/>
      <c r="BL2" s="50"/>
      <c r="BM2" s="50"/>
      <c r="BN2" s="50"/>
      <c r="BO2" s="50"/>
      <c r="BP2" s="50"/>
    </row>
    <row r="3" spans="1:68" ht="150">
      <c r="A3" s="64" t="s">
        <v>102</v>
      </c>
      <c r="B3" s="65" t="s">
        <v>103</v>
      </c>
      <c r="C3" s="65" t="s">
        <v>104</v>
      </c>
      <c r="D3" s="65" t="s">
        <v>105</v>
      </c>
      <c r="E3" s="66" t="s">
        <v>106</v>
      </c>
      <c r="F3" s="66" t="s">
        <v>107</v>
      </c>
      <c r="G3" s="66" t="s">
        <v>108</v>
      </c>
      <c r="H3" s="66" t="s">
        <v>109</v>
      </c>
      <c r="I3" s="66" t="s">
        <v>110</v>
      </c>
      <c r="J3" s="66" t="s">
        <v>111</v>
      </c>
      <c r="K3" s="67" t="s">
        <v>112</v>
      </c>
      <c r="L3" s="66" t="s">
        <v>113</v>
      </c>
      <c r="M3" s="66" t="s">
        <v>114</v>
      </c>
      <c r="N3" s="66" t="s">
        <v>115</v>
      </c>
      <c r="O3" s="65" t="s">
        <v>116</v>
      </c>
      <c r="P3" s="65" t="s">
        <v>117</v>
      </c>
      <c r="Q3" s="68" t="s">
        <v>118</v>
      </c>
      <c r="R3" s="68" t="s">
        <v>119</v>
      </c>
      <c r="S3" s="68" t="s">
        <v>120</v>
      </c>
      <c r="T3" s="69" t="s">
        <v>121</v>
      </c>
      <c r="U3" s="50"/>
      <c r="V3" s="64" t="s">
        <v>122</v>
      </c>
      <c r="W3" s="65" t="s">
        <v>103</v>
      </c>
      <c r="X3" s="65" t="s">
        <v>104</v>
      </c>
      <c r="Y3" s="65" t="s">
        <v>105</v>
      </c>
      <c r="Z3" s="66" t="s">
        <v>123</v>
      </c>
      <c r="AA3" s="66" t="s">
        <v>107</v>
      </c>
      <c r="AB3" s="66" t="s">
        <v>108</v>
      </c>
      <c r="AC3" s="66" t="s">
        <v>124</v>
      </c>
      <c r="AD3" s="66" t="s">
        <v>125</v>
      </c>
      <c r="AE3" s="66" t="s">
        <v>111</v>
      </c>
      <c r="AF3" s="67" t="s">
        <v>112</v>
      </c>
      <c r="AG3" s="66" t="s">
        <v>126</v>
      </c>
      <c r="AH3" s="66" t="s">
        <v>115</v>
      </c>
      <c r="AI3" s="66" t="s">
        <v>114</v>
      </c>
      <c r="AJ3" s="65" t="s">
        <v>127</v>
      </c>
      <c r="AK3" s="65" t="s">
        <v>117</v>
      </c>
      <c r="AL3" s="68" t="s">
        <v>118</v>
      </c>
      <c r="AM3" s="68" t="s">
        <v>119</v>
      </c>
      <c r="AN3" s="68" t="s">
        <v>120</v>
      </c>
      <c r="AO3" s="69" t="s">
        <v>121</v>
      </c>
      <c r="AP3" s="50"/>
      <c r="AQ3" s="64" t="s">
        <v>122</v>
      </c>
      <c r="AR3" s="65" t="s">
        <v>103</v>
      </c>
      <c r="AS3" s="65" t="s">
        <v>104</v>
      </c>
      <c r="AT3" s="65" t="s">
        <v>105</v>
      </c>
      <c r="AU3" s="66" t="s">
        <v>123</v>
      </c>
      <c r="AV3" s="66" t="s">
        <v>107</v>
      </c>
      <c r="AW3" s="66" t="s">
        <v>108</v>
      </c>
      <c r="AX3" s="66" t="s">
        <v>124</v>
      </c>
      <c r="AY3" s="66" t="s">
        <v>125</v>
      </c>
      <c r="AZ3" s="66" t="s">
        <v>111</v>
      </c>
      <c r="BA3" s="67" t="s">
        <v>112</v>
      </c>
      <c r="BB3" s="66" t="s">
        <v>126</v>
      </c>
      <c r="BC3" s="66" t="s">
        <v>114</v>
      </c>
      <c r="BD3" s="66" t="s">
        <v>115</v>
      </c>
      <c r="BE3" s="65" t="s">
        <v>116</v>
      </c>
      <c r="BF3" s="65" t="s">
        <v>117</v>
      </c>
      <c r="BG3" s="68" t="s">
        <v>118</v>
      </c>
      <c r="BH3" s="68" t="s">
        <v>119</v>
      </c>
      <c r="BI3" s="68" t="s">
        <v>120</v>
      </c>
      <c r="BJ3" s="69" t="s">
        <v>121</v>
      </c>
      <c r="BK3" s="50"/>
      <c r="BL3" s="50"/>
      <c r="BM3" s="50"/>
      <c r="BN3" s="50"/>
      <c r="BO3" s="50"/>
      <c r="BP3" s="50"/>
    </row>
    <row r="4" spans="1:68" ht="72" customHeight="1">
      <c r="A4" s="64" t="s">
        <v>128</v>
      </c>
      <c r="B4" s="65" t="s">
        <v>129</v>
      </c>
      <c r="C4" s="65">
        <v>60</v>
      </c>
      <c r="D4" s="65">
        <v>120</v>
      </c>
      <c r="E4" s="70">
        <v>10</v>
      </c>
      <c r="F4" s="70">
        <v>40</v>
      </c>
      <c r="G4" s="70">
        <v>96</v>
      </c>
      <c r="H4" s="70">
        <v>4</v>
      </c>
      <c r="I4" s="70">
        <v>4</v>
      </c>
      <c r="J4" s="70">
        <v>7</v>
      </c>
      <c r="K4" s="70">
        <f t="shared" ref="K4:K10" si="0">J4-I4</f>
        <v>3</v>
      </c>
      <c r="L4" s="70">
        <v>1.5</v>
      </c>
      <c r="M4" s="70" t="s">
        <v>130</v>
      </c>
      <c r="N4" s="70">
        <v>1</v>
      </c>
      <c r="O4" s="65">
        <v>20</v>
      </c>
      <c r="P4" s="65">
        <v>10</v>
      </c>
      <c r="Q4" s="65">
        <v>35</v>
      </c>
      <c r="R4" s="65" t="s">
        <v>131</v>
      </c>
      <c r="S4" s="65" t="s">
        <v>132</v>
      </c>
      <c r="T4" s="71" t="s">
        <v>133</v>
      </c>
      <c r="U4" s="72"/>
      <c r="V4" s="64" t="s">
        <v>134</v>
      </c>
      <c r="W4" s="65" t="s">
        <v>129</v>
      </c>
      <c r="X4" s="65">
        <v>60</v>
      </c>
      <c r="Y4" s="65">
        <v>192</v>
      </c>
      <c r="Z4" s="70">
        <v>15</v>
      </c>
      <c r="AA4" s="73">
        <v>60</v>
      </c>
      <c r="AB4" s="73">
        <v>120</v>
      </c>
      <c r="AC4" s="70">
        <v>4</v>
      </c>
      <c r="AD4" s="70">
        <v>4</v>
      </c>
      <c r="AE4" s="70">
        <v>13</v>
      </c>
      <c r="AF4" s="70">
        <f>AE4-AD4</f>
        <v>9</v>
      </c>
      <c r="AG4" s="70">
        <v>1.5</v>
      </c>
      <c r="AH4" s="74">
        <v>2</v>
      </c>
      <c r="AI4" s="70">
        <v>25</v>
      </c>
      <c r="AJ4" s="65">
        <v>20</v>
      </c>
      <c r="AK4" s="65">
        <v>10</v>
      </c>
      <c r="AL4" s="65">
        <v>17.5</v>
      </c>
      <c r="AM4" s="65" t="s">
        <v>131</v>
      </c>
      <c r="AN4" s="65" t="s">
        <v>132</v>
      </c>
      <c r="AO4" s="71" t="s">
        <v>133</v>
      </c>
      <c r="AP4" s="50"/>
      <c r="AQ4" s="64" t="s">
        <v>135</v>
      </c>
      <c r="AR4" s="65" t="s">
        <v>129</v>
      </c>
      <c r="AS4" s="65">
        <v>96</v>
      </c>
      <c r="AT4" s="65">
        <v>228</v>
      </c>
      <c r="AU4" s="70">
        <v>25</v>
      </c>
      <c r="AV4" s="70">
        <v>120</v>
      </c>
      <c r="AW4" s="70">
        <v>180</v>
      </c>
      <c r="AX4" s="70">
        <v>10</v>
      </c>
      <c r="AY4" s="70">
        <v>10</v>
      </c>
      <c r="AZ4" s="70">
        <v>18</v>
      </c>
      <c r="BA4" s="70">
        <f>AZ4-AY4</f>
        <v>8</v>
      </c>
      <c r="BB4" s="70">
        <v>1.5</v>
      </c>
      <c r="BC4" s="70">
        <v>30</v>
      </c>
      <c r="BD4" s="74">
        <v>3</v>
      </c>
      <c r="BE4" s="65">
        <v>25</v>
      </c>
      <c r="BF4" s="75">
        <v>12</v>
      </c>
      <c r="BG4" s="65">
        <v>17.5</v>
      </c>
      <c r="BH4" s="65" t="s">
        <v>131</v>
      </c>
      <c r="BI4" s="65" t="s">
        <v>132</v>
      </c>
      <c r="BJ4" s="71" t="s">
        <v>133</v>
      </c>
      <c r="BK4" s="50"/>
      <c r="BL4" s="50"/>
      <c r="BM4" s="50"/>
      <c r="BN4" s="50"/>
      <c r="BO4" s="50"/>
      <c r="BP4" s="50"/>
    </row>
    <row r="5" spans="1:68" ht="89.25" customHeight="1">
      <c r="A5" s="64" t="s">
        <v>128</v>
      </c>
      <c r="B5" s="65" t="s">
        <v>129</v>
      </c>
      <c r="C5" s="65">
        <v>60</v>
      </c>
      <c r="D5" s="65">
        <v>120</v>
      </c>
      <c r="E5" s="70">
        <v>9</v>
      </c>
      <c r="F5" s="70">
        <v>40</v>
      </c>
      <c r="G5" s="70">
        <v>96</v>
      </c>
      <c r="H5" s="70">
        <v>5</v>
      </c>
      <c r="I5" s="70">
        <v>5</v>
      </c>
      <c r="J5" s="70">
        <v>7</v>
      </c>
      <c r="K5" s="70">
        <f t="shared" si="0"/>
        <v>2</v>
      </c>
      <c r="L5" s="70">
        <v>1.5</v>
      </c>
      <c r="M5" s="70" t="s">
        <v>130</v>
      </c>
      <c r="N5" s="70">
        <v>1</v>
      </c>
      <c r="O5" s="65">
        <v>20</v>
      </c>
      <c r="P5" s="65">
        <v>10</v>
      </c>
      <c r="Q5" s="65">
        <v>35</v>
      </c>
      <c r="R5" s="65" t="s">
        <v>131</v>
      </c>
      <c r="S5" s="65" t="s">
        <v>132</v>
      </c>
      <c r="T5" s="71" t="s">
        <v>133</v>
      </c>
      <c r="U5" s="76"/>
      <c r="V5" s="64" t="s">
        <v>134</v>
      </c>
      <c r="W5" s="65" t="s">
        <v>129</v>
      </c>
      <c r="X5" s="65">
        <v>60</v>
      </c>
      <c r="Y5" s="65">
        <v>192</v>
      </c>
      <c r="Z5" s="70">
        <v>14</v>
      </c>
      <c r="AA5" s="70">
        <v>121</v>
      </c>
      <c r="AB5" s="65">
        <v>180</v>
      </c>
      <c r="AC5" s="70">
        <v>5</v>
      </c>
      <c r="AD5" s="70">
        <v>5</v>
      </c>
      <c r="AE5" s="70">
        <v>13</v>
      </c>
      <c r="AF5" s="70">
        <f>AE5-AD5</f>
        <v>8</v>
      </c>
      <c r="AG5" s="70">
        <v>1.5</v>
      </c>
      <c r="AH5" s="74">
        <v>3</v>
      </c>
      <c r="AI5" s="70">
        <v>30</v>
      </c>
      <c r="AJ5" s="65">
        <v>25</v>
      </c>
      <c r="AK5" s="75">
        <v>12</v>
      </c>
      <c r="AL5" s="65">
        <v>17.5</v>
      </c>
      <c r="AM5" s="65" t="s">
        <v>131</v>
      </c>
      <c r="AN5" s="65" t="s">
        <v>132</v>
      </c>
      <c r="AO5" s="71" t="s">
        <v>133</v>
      </c>
      <c r="AP5" s="56"/>
      <c r="AQ5" s="64" t="s">
        <v>135</v>
      </c>
      <c r="AR5" s="65" t="s">
        <v>129</v>
      </c>
      <c r="AS5" s="65">
        <v>96</v>
      </c>
      <c r="AT5" s="65">
        <v>228</v>
      </c>
      <c r="AU5" s="70">
        <v>24</v>
      </c>
      <c r="AV5" s="70">
        <v>180</v>
      </c>
      <c r="AW5" s="70">
        <v>240</v>
      </c>
      <c r="AX5" s="70">
        <v>11</v>
      </c>
      <c r="AY5" s="70">
        <v>11</v>
      </c>
      <c r="AZ5" s="70">
        <v>18</v>
      </c>
      <c r="BA5" s="70">
        <f t="shared" ref="BA5:BA18" si="1">AZ5-AY5</f>
        <v>7</v>
      </c>
      <c r="BB5" s="70">
        <v>1.5</v>
      </c>
      <c r="BC5" s="70">
        <v>35</v>
      </c>
      <c r="BD5" s="74">
        <v>3</v>
      </c>
      <c r="BE5" s="65">
        <v>30</v>
      </c>
      <c r="BF5" s="75">
        <v>15</v>
      </c>
      <c r="BG5" s="65">
        <v>17.5</v>
      </c>
      <c r="BH5" s="65" t="s">
        <v>131</v>
      </c>
      <c r="BI5" s="65" t="s">
        <v>132</v>
      </c>
      <c r="BJ5" s="71" t="s">
        <v>133</v>
      </c>
      <c r="BK5" s="50"/>
      <c r="BL5" s="50"/>
      <c r="BM5" s="50"/>
      <c r="BN5" s="50"/>
      <c r="BO5" s="50"/>
      <c r="BP5" s="50"/>
    </row>
    <row r="6" spans="1:68" ht="165">
      <c r="A6" s="64" t="s">
        <v>128</v>
      </c>
      <c r="B6" s="65" t="s">
        <v>129</v>
      </c>
      <c r="C6" s="65">
        <v>60</v>
      </c>
      <c r="D6" s="65">
        <v>120</v>
      </c>
      <c r="E6" s="70">
        <v>8</v>
      </c>
      <c r="F6" s="70">
        <v>40</v>
      </c>
      <c r="G6" s="70">
        <v>96</v>
      </c>
      <c r="H6" s="70">
        <v>6</v>
      </c>
      <c r="I6" s="70">
        <v>6</v>
      </c>
      <c r="J6" s="70">
        <v>7</v>
      </c>
      <c r="K6" s="70">
        <f t="shared" si="0"/>
        <v>1</v>
      </c>
      <c r="L6" s="70">
        <v>1.5</v>
      </c>
      <c r="M6" s="70" t="s">
        <v>130</v>
      </c>
      <c r="N6" s="70">
        <v>1</v>
      </c>
      <c r="O6" s="65">
        <v>20</v>
      </c>
      <c r="P6" s="65">
        <v>10</v>
      </c>
      <c r="Q6" s="65">
        <v>35</v>
      </c>
      <c r="R6" s="65" t="s">
        <v>131</v>
      </c>
      <c r="S6" s="65" t="s">
        <v>132</v>
      </c>
      <c r="T6" s="71" t="s">
        <v>133</v>
      </c>
      <c r="U6" s="76"/>
      <c r="V6" s="64" t="s">
        <v>134</v>
      </c>
      <c r="W6" s="65" t="s">
        <v>129</v>
      </c>
      <c r="X6" s="65">
        <v>60</v>
      </c>
      <c r="Y6" s="65">
        <v>192</v>
      </c>
      <c r="Z6" s="70">
        <v>13</v>
      </c>
      <c r="AA6" s="70">
        <v>181</v>
      </c>
      <c r="AB6" s="65">
        <v>300</v>
      </c>
      <c r="AC6" s="70">
        <v>6</v>
      </c>
      <c r="AD6" s="70">
        <v>6</v>
      </c>
      <c r="AE6" s="70">
        <v>13</v>
      </c>
      <c r="AF6" s="70">
        <f t="shared" ref="AF6:AF13" si="2">AE6-AD6</f>
        <v>7</v>
      </c>
      <c r="AG6" s="70">
        <v>2</v>
      </c>
      <c r="AH6" s="74">
        <v>3</v>
      </c>
      <c r="AI6" s="70">
        <v>40</v>
      </c>
      <c r="AJ6" s="65">
        <v>30</v>
      </c>
      <c r="AK6" s="75">
        <v>15</v>
      </c>
      <c r="AL6" s="65">
        <v>17.5</v>
      </c>
      <c r="AM6" s="65" t="s">
        <v>131</v>
      </c>
      <c r="AN6" s="65" t="s">
        <v>132</v>
      </c>
      <c r="AO6" s="71" t="s">
        <v>133</v>
      </c>
      <c r="AP6" s="56"/>
      <c r="AQ6" s="64" t="s">
        <v>135</v>
      </c>
      <c r="AR6" s="65" t="s">
        <v>129</v>
      </c>
      <c r="AS6" s="65">
        <v>96</v>
      </c>
      <c r="AT6" s="65">
        <v>228</v>
      </c>
      <c r="AU6" s="70">
        <v>23</v>
      </c>
      <c r="AV6" s="70">
        <v>241</v>
      </c>
      <c r="AW6" s="70">
        <v>300</v>
      </c>
      <c r="AX6" s="70">
        <v>12</v>
      </c>
      <c r="AY6" s="70">
        <v>12</v>
      </c>
      <c r="AZ6" s="70">
        <v>18</v>
      </c>
      <c r="BA6" s="70">
        <f t="shared" si="1"/>
        <v>6</v>
      </c>
      <c r="BB6" s="70">
        <v>2</v>
      </c>
      <c r="BC6" s="70">
        <v>40</v>
      </c>
      <c r="BD6" s="74">
        <v>4</v>
      </c>
      <c r="BE6" s="65">
        <v>36</v>
      </c>
      <c r="BF6" s="75">
        <v>18</v>
      </c>
      <c r="BG6" s="65">
        <v>17.5</v>
      </c>
      <c r="BH6" s="65" t="s">
        <v>131</v>
      </c>
      <c r="BI6" s="65" t="s">
        <v>132</v>
      </c>
      <c r="BJ6" s="71" t="s">
        <v>133</v>
      </c>
      <c r="BK6" s="50"/>
      <c r="BL6" s="50"/>
      <c r="BM6" s="50"/>
      <c r="BN6" s="50"/>
      <c r="BO6" s="50"/>
      <c r="BP6" s="50"/>
    </row>
    <row r="7" spans="1:68" ht="165">
      <c r="A7" s="64" t="s">
        <v>128</v>
      </c>
      <c r="B7" s="65" t="s">
        <v>129</v>
      </c>
      <c r="C7" s="65">
        <v>60</v>
      </c>
      <c r="D7" s="65">
        <v>120</v>
      </c>
      <c r="E7" s="70">
        <v>7</v>
      </c>
      <c r="F7" s="70">
        <v>40</v>
      </c>
      <c r="G7" s="70">
        <v>96</v>
      </c>
      <c r="H7" s="70">
        <v>7</v>
      </c>
      <c r="I7" s="70">
        <v>7</v>
      </c>
      <c r="J7" s="70">
        <v>7</v>
      </c>
      <c r="K7" s="70">
        <f t="shared" si="0"/>
        <v>0</v>
      </c>
      <c r="L7" s="70">
        <v>1.5</v>
      </c>
      <c r="M7" s="70" t="s">
        <v>130</v>
      </c>
      <c r="N7" s="70">
        <v>1</v>
      </c>
      <c r="O7" s="65">
        <v>20</v>
      </c>
      <c r="P7" s="65">
        <v>10</v>
      </c>
      <c r="Q7" s="65">
        <v>35</v>
      </c>
      <c r="R7" s="65" t="s">
        <v>131</v>
      </c>
      <c r="S7" s="65" t="s">
        <v>132</v>
      </c>
      <c r="T7" s="71" t="s">
        <v>133</v>
      </c>
      <c r="U7" s="76"/>
      <c r="V7" s="64" t="s">
        <v>134</v>
      </c>
      <c r="W7" s="65" t="s">
        <v>129</v>
      </c>
      <c r="X7" s="65">
        <v>60</v>
      </c>
      <c r="Y7" s="65">
        <v>192</v>
      </c>
      <c r="Z7" s="70">
        <v>12</v>
      </c>
      <c r="AA7" s="77">
        <v>241</v>
      </c>
      <c r="AB7" s="78">
        <v>300</v>
      </c>
      <c r="AC7" s="70">
        <v>7</v>
      </c>
      <c r="AD7" s="70">
        <v>7</v>
      </c>
      <c r="AE7" s="70">
        <v>13</v>
      </c>
      <c r="AF7" s="70">
        <f t="shared" si="2"/>
        <v>6</v>
      </c>
      <c r="AG7" s="70">
        <v>2</v>
      </c>
      <c r="AH7" s="74">
        <v>3</v>
      </c>
      <c r="AI7" s="70">
        <v>40</v>
      </c>
      <c r="AJ7" s="65">
        <v>30</v>
      </c>
      <c r="AK7" s="75">
        <v>15</v>
      </c>
      <c r="AL7" s="65">
        <v>17.5</v>
      </c>
      <c r="AM7" s="65" t="s">
        <v>131</v>
      </c>
      <c r="AN7" s="65" t="s">
        <v>132</v>
      </c>
      <c r="AO7" s="71" t="s">
        <v>133</v>
      </c>
      <c r="AP7" s="56"/>
      <c r="AQ7" s="64" t="s">
        <v>135</v>
      </c>
      <c r="AR7" s="65" t="s">
        <v>129</v>
      </c>
      <c r="AS7" s="65">
        <v>96</v>
      </c>
      <c r="AT7" s="65">
        <v>228</v>
      </c>
      <c r="AU7" s="70">
        <v>22</v>
      </c>
      <c r="AV7" s="70">
        <v>241</v>
      </c>
      <c r="AW7" s="70">
        <v>300</v>
      </c>
      <c r="AX7" s="70">
        <v>13</v>
      </c>
      <c r="AY7" s="70">
        <v>13</v>
      </c>
      <c r="AZ7" s="70">
        <v>18</v>
      </c>
      <c r="BA7" s="70">
        <f t="shared" si="1"/>
        <v>5</v>
      </c>
      <c r="BB7" s="70">
        <v>2</v>
      </c>
      <c r="BC7" s="70">
        <v>40</v>
      </c>
      <c r="BD7" s="74">
        <v>4</v>
      </c>
      <c r="BE7" s="65">
        <v>36</v>
      </c>
      <c r="BF7" s="75">
        <v>18</v>
      </c>
      <c r="BG7" s="65">
        <v>17.5</v>
      </c>
      <c r="BH7" s="65" t="s">
        <v>131</v>
      </c>
      <c r="BI7" s="65" t="s">
        <v>132</v>
      </c>
      <c r="BJ7" s="71" t="s">
        <v>133</v>
      </c>
      <c r="BK7" s="50"/>
      <c r="BL7" s="50"/>
      <c r="BM7" s="50"/>
      <c r="BN7" s="50"/>
      <c r="BO7" s="50"/>
      <c r="BP7" s="50"/>
    </row>
    <row r="8" spans="1:68" ht="165">
      <c r="A8" s="64" t="s">
        <v>128</v>
      </c>
      <c r="B8" s="65" t="s">
        <v>129</v>
      </c>
      <c r="C8" s="65">
        <v>60</v>
      </c>
      <c r="D8" s="65">
        <v>120</v>
      </c>
      <c r="E8" s="70">
        <v>6</v>
      </c>
      <c r="F8" s="70">
        <v>40</v>
      </c>
      <c r="G8" s="70">
        <v>96</v>
      </c>
      <c r="H8" s="70">
        <v>7</v>
      </c>
      <c r="I8" s="70">
        <v>7</v>
      </c>
      <c r="J8" s="70">
        <v>7</v>
      </c>
      <c r="K8" s="70">
        <f t="shared" si="0"/>
        <v>0</v>
      </c>
      <c r="L8" s="70">
        <v>1.5</v>
      </c>
      <c r="M8" s="70" t="s">
        <v>130</v>
      </c>
      <c r="N8" s="70">
        <v>1</v>
      </c>
      <c r="O8" s="65">
        <v>20</v>
      </c>
      <c r="P8" s="65">
        <v>10</v>
      </c>
      <c r="Q8" s="65">
        <v>35</v>
      </c>
      <c r="R8" s="65" t="s">
        <v>131</v>
      </c>
      <c r="S8" s="65" t="s">
        <v>132</v>
      </c>
      <c r="T8" s="71" t="s">
        <v>133</v>
      </c>
      <c r="U8" s="76"/>
      <c r="V8" s="64" t="s">
        <v>134</v>
      </c>
      <c r="W8" s="65" t="s">
        <v>129</v>
      </c>
      <c r="X8" s="65">
        <v>60</v>
      </c>
      <c r="Y8" s="65">
        <v>192</v>
      </c>
      <c r="Z8" s="70">
        <v>11</v>
      </c>
      <c r="AA8" s="77">
        <v>241</v>
      </c>
      <c r="AB8" s="78">
        <v>300</v>
      </c>
      <c r="AC8" s="70">
        <v>8</v>
      </c>
      <c r="AD8" s="70">
        <v>8</v>
      </c>
      <c r="AE8" s="70">
        <v>13</v>
      </c>
      <c r="AF8" s="70">
        <f t="shared" si="2"/>
        <v>5</v>
      </c>
      <c r="AG8" s="70">
        <v>2</v>
      </c>
      <c r="AH8" s="74">
        <v>3</v>
      </c>
      <c r="AI8" s="70">
        <v>40</v>
      </c>
      <c r="AJ8" s="65">
        <v>30</v>
      </c>
      <c r="AK8" s="75">
        <v>15</v>
      </c>
      <c r="AL8" s="65">
        <v>17.5</v>
      </c>
      <c r="AM8" s="65" t="s">
        <v>131</v>
      </c>
      <c r="AN8" s="65" t="s">
        <v>132</v>
      </c>
      <c r="AO8" s="71" t="s">
        <v>133</v>
      </c>
      <c r="AP8" s="56"/>
      <c r="AQ8" s="64" t="s">
        <v>135</v>
      </c>
      <c r="AR8" s="65" t="s">
        <v>129</v>
      </c>
      <c r="AS8" s="65">
        <v>96</v>
      </c>
      <c r="AT8" s="65">
        <v>228</v>
      </c>
      <c r="AU8" s="70">
        <v>21</v>
      </c>
      <c r="AV8" s="70">
        <v>241</v>
      </c>
      <c r="AW8" s="70">
        <v>300</v>
      </c>
      <c r="AX8" s="70">
        <v>14</v>
      </c>
      <c r="AY8" s="70">
        <v>14</v>
      </c>
      <c r="AZ8" s="70">
        <v>18</v>
      </c>
      <c r="BA8" s="70">
        <f t="shared" si="1"/>
        <v>4</v>
      </c>
      <c r="BB8" s="70">
        <v>2</v>
      </c>
      <c r="BC8" s="70">
        <v>40</v>
      </c>
      <c r="BD8" s="74">
        <v>4</v>
      </c>
      <c r="BE8" s="65">
        <v>36</v>
      </c>
      <c r="BF8" s="75">
        <v>18</v>
      </c>
      <c r="BG8" s="65">
        <v>17.5</v>
      </c>
      <c r="BH8" s="65" t="s">
        <v>131</v>
      </c>
      <c r="BI8" s="65" t="s">
        <v>132</v>
      </c>
      <c r="BJ8" s="71" t="s">
        <v>133</v>
      </c>
      <c r="BK8" s="50"/>
      <c r="BL8" s="50"/>
      <c r="BM8" s="50"/>
      <c r="BN8" s="50"/>
      <c r="BO8" s="50"/>
      <c r="BP8" s="50"/>
    </row>
    <row r="9" spans="1:68" ht="165">
      <c r="A9" s="64" t="s">
        <v>128</v>
      </c>
      <c r="B9" s="65" t="s">
        <v>129</v>
      </c>
      <c r="C9" s="65">
        <v>60</v>
      </c>
      <c r="D9" s="65">
        <v>120</v>
      </c>
      <c r="E9" s="70">
        <v>5</v>
      </c>
      <c r="F9" s="70">
        <v>40</v>
      </c>
      <c r="G9" s="70">
        <v>96</v>
      </c>
      <c r="H9" s="70">
        <v>7</v>
      </c>
      <c r="I9" s="70">
        <v>7</v>
      </c>
      <c r="J9" s="70">
        <v>7</v>
      </c>
      <c r="K9" s="70">
        <f t="shared" si="0"/>
        <v>0</v>
      </c>
      <c r="L9" s="70">
        <v>1.5</v>
      </c>
      <c r="M9" s="70" t="s">
        <v>130</v>
      </c>
      <c r="N9" s="70">
        <v>1</v>
      </c>
      <c r="O9" s="65">
        <v>20</v>
      </c>
      <c r="P9" s="65">
        <v>10</v>
      </c>
      <c r="Q9" s="65">
        <v>35</v>
      </c>
      <c r="R9" s="65" t="s">
        <v>131</v>
      </c>
      <c r="S9" s="65" t="s">
        <v>132</v>
      </c>
      <c r="T9" s="71" t="s">
        <v>133</v>
      </c>
      <c r="U9" s="76"/>
      <c r="V9" s="64" t="s">
        <v>134</v>
      </c>
      <c r="W9" s="65" t="s">
        <v>129</v>
      </c>
      <c r="X9" s="65">
        <v>60</v>
      </c>
      <c r="Y9" s="65">
        <v>192</v>
      </c>
      <c r="Z9" s="70">
        <v>10</v>
      </c>
      <c r="AA9" s="77">
        <v>241</v>
      </c>
      <c r="AB9" s="78">
        <v>300</v>
      </c>
      <c r="AC9" s="70">
        <v>9</v>
      </c>
      <c r="AD9" s="70">
        <v>9</v>
      </c>
      <c r="AE9" s="70">
        <v>13</v>
      </c>
      <c r="AF9" s="70">
        <f t="shared" si="2"/>
        <v>4</v>
      </c>
      <c r="AG9" s="70">
        <v>2</v>
      </c>
      <c r="AH9" s="74">
        <v>3</v>
      </c>
      <c r="AI9" s="70">
        <v>40</v>
      </c>
      <c r="AJ9" s="65">
        <v>30</v>
      </c>
      <c r="AK9" s="75">
        <v>15</v>
      </c>
      <c r="AL9" s="65">
        <v>17.5</v>
      </c>
      <c r="AM9" s="65" t="s">
        <v>131</v>
      </c>
      <c r="AN9" s="65" t="s">
        <v>132</v>
      </c>
      <c r="AO9" s="71" t="s">
        <v>133</v>
      </c>
      <c r="AP9" s="56"/>
      <c r="AQ9" s="64" t="s">
        <v>135</v>
      </c>
      <c r="AR9" s="65" t="s">
        <v>129</v>
      </c>
      <c r="AS9" s="65">
        <v>96</v>
      </c>
      <c r="AT9" s="65">
        <v>228</v>
      </c>
      <c r="AU9" s="70">
        <v>20</v>
      </c>
      <c r="AV9" s="70">
        <v>241</v>
      </c>
      <c r="AW9" s="70">
        <v>300</v>
      </c>
      <c r="AX9" s="70">
        <v>15</v>
      </c>
      <c r="AY9" s="70">
        <v>15</v>
      </c>
      <c r="AZ9" s="70">
        <v>18</v>
      </c>
      <c r="BA9" s="70">
        <f t="shared" si="1"/>
        <v>3</v>
      </c>
      <c r="BB9" s="70">
        <v>2</v>
      </c>
      <c r="BC9" s="70">
        <v>40</v>
      </c>
      <c r="BD9" s="74">
        <v>4</v>
      </c>
      <c r="BE9" s="65">
        <v>36</v>
      </c>
      <c r="BF9" s="75">
        <v>18</v>
      </c>
      <c r="BG9" s="65">
        <v>17.5</v>
      </c>
      <c r="BH9" s="65" t="s">
        <v>131</v>
      </c>
      <c r="BI9" s="65" t="s">
        <v>132</v>
      </c>
      <c r="BJ9" s="71" t="s">
        <v>133</v>
      </c>
      <c r="BK9" s="50"/>
      <c r="BL9" s="50"/>
      <c r="BM9" s="50"/>
      <c r="BN9" s="50"/>
      <c r="BO9" s="50"/>
      <c r="BP9" s="50"/>
    </row>
    <row r="10" spans="1:68" ht="165.75" thickBot="1">
      <c r="A10" s="79" t="s">
        <v>128</v>
      </c>
      <c r="B10" s="80" t="s">
        <v>129</v>
      </c>
      <c r="C10" s="80">
        <v>60</v>
      </c>
      <c r="D10" s="80">
        <v>120</v>
      </c>
      <c r="E10" s="81">
        <v>4</v>
      </c>
      <c r="F10" s="81">
        <v>40</v>
      </c>
      <c r="G10" s="81">
        <v>96</v>
      </c>
      <c r="H10" s="81">
        <v>7</v>
      </c>
      <c r="I10" s="81">
        <v>7</v>
      </c>
      <c r="J10" s="81">
        <v>7</v>
      </c>
      <c r="K10" s="81">
        <f t="shared" si="0"/>
        <v>0</v>
      </c>
      <c r="L10" s="81">
        <v>1.5</v>
      </c>
      <c r="M10" s="81" t="s">
        <v>130</v>
      </c>
      <c r="N10" s="81">
        <v>1</v>
      </c>
      <c r="O10" s="80">
        <v>20</v>
      </c>
      <c r="P10" s="80">
        <v>10</v>
      </c>
      <c r="Q10" s="80">
        <v>35</v>
      </c>
      <c r="R10" s="80" t="s">
        <v>131</v>
      </c>
      <c r="S10" s="80" t="s">
        <v>132</v>
      </c>
      <c r="T10" s="82" t="s">
        <v>133</v>
      </c>
      <c r="U10" s="76"/>
      <c r="V10" s="64" t="s">
        <v>134</v>
      </c>
      <c r="W10" s="65" t="s">
        <v>129</v>
      </c>
      <c r="X10" s="65">
        <v>60</v>
      </c>
      <c r="Y10" s="65">
        <v>192</v>
      </c>
      <c r="Z10" s="70">
        <v>9</v>
      </c>
      <c r="AA10" s="77">
        <v>241</v>
      </c>
      <c r="AB10" s="78">
        <v>300</v>
      </c>
      <c r="AC10" s="70">
        <v>10</v>
      </c>
      <c r="AD10" s="70">
        <v>10</v>
      </c>
      <c r="AE10" s="70">
        <v>13</v>
      </c>
      <c r="AF10" s="70">
        <f t="shared" si="2"/>
        <v>3</v>
      </c>
      <c r="AG10" s="70">
        <v>2</v>
      </c>
      <c r="AH10" s="74">
        <v>3</v>
      </c>
      <c r="AI10" s="70">
        <v>40</v>
      </c>
      <c r="AJ10" s="65">
        <v>30</v>
      </c>
      <c r="AK10" s="75">
        <v>15</v>
      </c>
      <c r="AL10" s="65">
        <v>17.5</v>
      </c>
      <c r="AM10" s="65" t="s">
        <v>131</v>
      </c>
      <c r="AN10" s="65" t="s">
        <v>132</v>
      </c>
      <c r="AO10" s="71" t="s">
        <v>133</v>
      </c>
      <c r="AP10" s="56"/>
      <c r="AQ10" s="64" t="s">
        <v>135</v>
      </c>
      <c r="AR10" s="65" t="s">
        <v>129</v>
      </c>
      <c r="AS10" s="65">
        <v>96</v>
      </c>
      <c r="AT10" s="65">
        <v>228</v>
      </c>
      <c r="AU10" s="70">
        <v>19</v>
      </c>
      <c r="AV10" s="70">
        <v>241</v>
      </c>
      <c r="AW10" s="70">
        <v>300</v>
      </c>
      <c r="AX10" s="70">
        <v>16</v>
      </c>
      <c r="AY10" s="70">
        <v>16</v>
      </c>
      <c r="AZ10" s="70">
        <v>18</v>
      </c>
      <c r="BA10" s="70">
        <f t="shared" si="1"/>
        <v>2</v>
      </c>
      <c r="BB10" s="70">
        <v>2</v>
      </c>
      <c r="BC10" s="70">
        <v>40</v>
      </c>
      <c r="BD10" s="74">
        <v>4</v>
      </c>
      <c r="BE10" s="65">
        <v>36</v>
      </c>
      <c r="BF10" s="75">
        <v>18</v>
      </c>
      <c r="BG10" s="65">
        <v>17.5</v>
      </c>
      <c r="BH10" s="65" t="s">
        <v>131</v>
      </c>
      <c r="BI10" s="65" t="s">
        <v>132</v>
      </c>
      <c r="BJ10" s="71" t="s">
        <v>133</v>
      </c>
      <c r="BK10" s="50"/>
      <c r="BL10" s="50"/>
      <c r="BM10" s="50"/>
      <c r="BN10" s="50"/>
      <c r="BO10" s="50"/>
      <c r="BP10" s="50"/>
    </row>
    <row r="11" spans="1:68" ht="16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64" t="s">
        <v>134</v>
      </c>
      <c r="W11" s="65" t="s">
        <v>129</v>
      </c>
      <c r="X11" s="65">
        <v>60</v>
      </c>
      <c r="Y11" s="65">
        <v>192</v>
      </c>
      <c r="Z11" s="70">
        <v>8</v>
      </c>
      <c r="AA11" s="77">
        <v>241</v>
      </c>
      <c r="AB11" s="78">
        <v>300</v>
      </c>
      <c r="AC11" s="70">
        <v>11</v>
      </c>
      <c r="AD11" s="70">
        <v>11</v>
      </c>
      <c r="AE11" s="70">
        <v>13</v>
      </c>
      <c r="AF11" s="70">
        <f t="shared" si="2"/>
        <v>2</v>
      </c>
      <c r="AG11" s="70">
        <v>2</v>
      </c>
      <c r="AH11" s="74">
        <v>3</v>
      </c>
      <c r="AI11" s="70">
        <v>40</v>
      </c>
      <c r="AJ11" s="65">
        <v>30</v>
      </c>
      <c r="AK11" s="75">
        <v>15</v>
      </c>
      <c r="AL11" s="65">
        <v>17.5</v>
      </c>
      <c r="AM11" s="65" t="s">
        <v>131</v>
      </c>
      <c r="AN11" s="65" t="s">
        <v>132</v>
      </c>
      <c r="AO11" s="71" t="s">
        <v>133</v>
      </c>
      <c r="AP11" s="56"/>
      <c r="AQ11" s="64" t="s">
        <v>135</v>
      </c>
      <c r="AR11" s="65" t="s">
        <v>129</v>
      </c>
      <c r="AS11" s="65">
        <v>96</v>
      </c>
      <c r="AT11" s="65">
        <v>228</v>
      </c>
      <c r="AU11" s="70">
        <v>18</v>
      </c>
      <c r="AV11" s="70">
        <v>241</v>
      </c>
      <c r="AW11" s="70">
        <v>300</v>
      </c>
      <c r="AX11" s="70">
        <v>17</v>
      </c>
      <c r="AY11" s="70">
        <v>17</v>
      </c>
      <c r="AZ11" s="70">
        <v>18</v>
      </c>
      <c r="BA11" s="70">
        <f t="shared" si="1"/>
        <v>1</v>
      </c>
      <c r="BB11" s="70">
        <v>2</v>
      </c>
      <c r="BC11" s="70">
        <v>40</v>
      </c>
      <c r="BD11" s="74">
        <v>4</v>
      </c>
      <c r="BE11" s="65">
        <v>36</v>
      </c>
      <c r="BF11" s="75">
        <v>18</v>
      </c>
      <c r="BG11" s="65">
        <v>17.5</v>
      </c>
      <c r="BH11" s="65" t="s">
        <v>131</v>
      </c>
      <c r="BI11" s="65" t="s">
        <v>132</v>
      </c>
      <c r="BJ11" s="71" t="s">
        <v>133</v>
      </c>
      <c r="BK11" s="50"/>
      <c r="BL11" s="50"/>
      <c r="BM11" s="50"/>
      <c r="BN11" s="50"/>
      <c r="BO11" s="50"/>
      <c r="BP11" s="50"/>
    </row>
    <row r="12" spans="1:68" ht="165">
      <c r="A12" s="50"/>
      <c r="B12" s="50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64" t="s">
        <v>134</v>
      </c>
      <c r="W12" s="65" t="s">
        <v>129</v>
      </c>
      <c r="X12" s="65">
        <v>60</v>
      </c>
      <c r="Y12" s="65">
        <v>192</v>
      </c>
      <c r="Z12" s="70">
        <v>7</v>
      </c>
      <c r="AA12" s="77">
        <v>241</v>
      </c>
      <c r="AB12" s="78">
        <v>300</v>
      </c>
      <c r="AC12" s="70">
        <v>12</v>
      </c>
      <c r="AD12" s="70">
        <v>12</v>
      </c>
      <c r="AE12" s="70">
        <v>13</v>
      </c>
      <c r="AF12" s="70">
        <f t="shared" si="2"/>
        <v>1</v>
      </c>
      <c r="AG12" s="70">
        <v>2</v>
      </c>
      <c r="AH12" s="74">
        <v>3</v>
      </c>
      <c r="AI12" s="70">
        <v>40</v>
      </c>
      <c r="AJ12" s="65">
        <v>30</v>
      </c>
      <c r="AK12" s="75">
        <v>15</v>
      </c>
      <c r="AL12" s="65">
        <v>17.5</v>
      </c>
      <c r="AM12" s="65" t="s">
        <v>131</v>
      </c>
      <c r="AN12" s="65" t="s">
        <v>132</v>
      </c>
      <c r="AO12" s="71" t="s">
        <v>133</v>
      </c>
      <c r="AP12" s="56"/>
      <c r="AQ12" s="64" t="s">
        <v>135</v>
      </c>
      <c r="AR12" s="65" t="s">
        <v>129</v>
      </c>
      <c r="AS12" s="65">
        <v>96</v>
      </c>
      <c r="AT12" s="65">
        <v>228</v>
      </c>
      <c r="AU12" s="83">
        <v>17</v>
      </c>
      <c r="AV12" s="70">
        <v>241</v>
      </c>
      <c r="AW12" s="70">
        <v>300</v>
      </c>
      <c r="AX12" s="84">
        <v>18</v>
      </c>
      <c r="AY12" s="84">
        <v>18</v>
      </c>
      <c r="AZ12" s="84">
        <v>18</v>
      </c>
      <c r="BA12" s="84">
        <f t="shared" si="1"/>
        <v>0</v>
      </c>
      <c r="BB12" s="70">
        <v>2</v>
      </c>
      <c r="BC12" s="70">
        <v>40</v>
      </c>
      <c r="BD12" s="74">
        <v>4</v>
      </c>
      <c r="BE12" s="65">
        <v>36</v>
      </c>
      <c r="BF12" s="75">
        <v>18</v>
      </c>
      <c r="BG12" s="65">
        <v>17.5</v>
      </c>
      <c r="BH12" s="65" t="s">
        <v>131</v>
      </c>
      <c r="BI12" s="65" t="s">
        <v>132</v>
      </c>
      <c r="BJ12" s="71" t="s">
        <v>133</v>
      </c>
      <c r="BK12" s="50"/>
      <c r="BL12" s="50"/>
      <c r="BM12" s="50"/>
      <c r="BN12" s="50"/>
      <c r="BO12" s="50"/>
      <c r="BP12" s="50"/>
    </row>
    <row r="13" spans="1:68" ht="165.75" thickBot="1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79" t="s">
        <v>134</v>
      </c>
      <c r="W13" s="80" t="s">
        <v>129</v>
      </c>
      <c r="X13" s="80">
        <v>60</v>
      </c>
      <c r="Y13" s="80">
        <v>192</v>
      </c>
      <c r="Z13" s="81">
        <v>6</v>
      </c>
      <c r="AA13" s="85">
        <v>241</v>
      </c>
      <c r="AB13" s="86">
        <v>300</v>
      </c>
      <c r="AC13" s="85">
        <v>12</v>
      </c>
      <c r="AD13" s="85">
        <v>12</v>
      </c>
      <c r="AE13" s="81">
        <v>13</v>
      </c>
      <c r="AF13" s="70">
        <f t="shared" si="2"/>
        <v>1</v>
      </c>
      <c r="AG13" s="81">
        <v>2</v>
      </c>
      <c r="AH13" s="87">
        <v>3</v>
      </c>
      <c r="AI13" s="81">
        <v>40</v>
      </c>
      <c r="AJ13" s="80">
        <v>30</v>
      </c>
      <c r="AK13" s="88">
        <v>15</v>
      </c>
      <c r="AL13" s="80">
        <v>17.5</v>
      </c>
      <c r="AM13" s="80" t="s">
        <v>131</v>
      </c>
      <c r="AN13" s="80" t="s">
        <v>132</v>
      </c>
      <c r="AO13" s="82" t="s">
        <v>133</v>
      </c>
      <c r="AP13" s="56"/>
      <c r="AQ13" s="64" t="s">
        <v>135</v>
      </c>
      <c r="AR13" s="65" t="s">
        <v>129</v>
      </c>
      <c r="AS13" s="65">
        <v>96</v>
      </c>
      <c r="AT13" s="65">
        <v>228</v>
      </c>
      <c r="AU13" s="83">
        <v>16</v>
      </c>
      <c r="AV13" s="70">
        <v>241</v>
      </c>
      <c r="AW13" s="70">
        <v>300</v>
      </c>
      <c r="AX13" s="83">
        <v>19</v>
      </c>
      <c r="AY13" s="83">
        <v>19</v>
      </c>
      <c r="AZ13" s="77">
        <v>18</v>
      </c>
      <c r="BA13" s="83">
        <f t="shared" si="1"/>
        <v>-1</v>
      </c>
      <c r="BB13" s="70">
        <v>2</v>
      </c>
      <c r="BC13" s="70">
        <v>40</v>
      </c>
      <c r="BD13" s="74">
        <v>4</v>
      </c>
      <c r="BE13" s="65">
        <v>36</v>
      </c>
      <c r="BF13" s="75">
        <v>18</v>
      </c>
      <c r="BG13" s="65">
        <v>17.5</v>
      </c>
      <c r="BH13" s="65" t="s">
        <v>131</v>
      </c>
      <c r="BI13" s="65" t="s">
        <v>132</v>
      </c>
      <c r="BJ13" s="71" t="s">
        <v>133</v>
      </c>
      <c r="BK13" s="50"/>
      <c r="BL13" s="50"/>
      <c r="BM13" s="50"/>
      <c r="BN13" s="50"/>
      <c r="BO13" s="50"/>
      <c r="BP13" s="50"/>
    </row>
    <row r="14" spans="1:68" ht="165.75" thickBot="1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66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6"/>
      <c r="AL14" s="56"/>
      <c r="AM14" s="56"/>
      <c r="AN14" s="56"/>
      <c r="AO14" s="56"/>
      <c r="AP14" s="56"/>
      <c r="AQ14" s="64" t="s">
        <v>135</v>
      </c>
      <c r="AR14" s="65" t="s">
        <v>129</v>
      </c>
      <c r="AS14" s="65">
        <v>96</v>
      </c>
      <c r="AT14" s="65">
        <v>228</v>
      </c>
      <c r="AU14" s="83">
        <v>15</v>
      </c>
      <c r="AV14" s="70">
        <v>241</v>
      </c>
      <c r="AW14" s="70">
        <v>300</v>
      </c>
      <c r="AX14" s="83">
        <v>20</v>
      </c>
      <c r="AY14" s="83">
        <v>20</v>
      </c>
      <c r="AZ14" s="77">
        <v>18</v>
      </c>
      <c r="BA14" s="83">
        <f t="shared" si="1"/>
        <v>-2</v>
      </c>
      <c r="BB14" s="70">
        <v>2</v>
      </c>
      <c r="BC14" s="70">
        <v>40</v>
      </c>
      <c r="BD14" s="74">
        <v>4</v>
      </c>
      <c r="BE14" s="65">
        <v>36</v>
      </c>
      <c r="BF14" s="75">
        <v>18</v>
      </c>
      <c r="BG14" s="65">
        <v>17.5</v>
      </c>
      <c r="BH14" s="65" t="s">
        <v>131</v>
      </c>
      <c r="BI14" s="65" t="s">
        <v>132</v>
      </c>
      <c r="BJ14" s="71" t="s">
        <v>133</v>
      </c>
      <c r="BK14" s="50"/>
      <c r="BL14" s="50"/>
      <c r="BM14" s="50"/>
      <c r="BN14" s="50"/>
      <c r="BO14" s="50"/>
      <c r="BP14" s="50"/>
    </row>
    <row r="15" spans="1:68" ht="165.75" thickBot="1">
      <c r="A15" s="61" t="s">
        <v>136</v>
      </c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3"/>
      <c r="U15" s="56"/>
      <c r="V15" s="57" t="s">
        <v>137</v>
      </c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9"/>
      <c r="AP15" s="56"/>
      <c r="AQ15" s="64" t="s">
        <v>135</v>
      </c>
      <c r="AR15" s="65" t="s">
        <v>129</v>
      </c>
      <c r="AS15" s="65">
        <v>96</v>
      </c>
      <c r="AT15" s="65">
        <v>228</v>
      </c>
      <c r="AU15" s="83">
        <v>14</v>
      </c>
      <c r="AV15" s="70">
        <v>241</v>
      </c>
      <c r="AW15" s="70">
        <v>300</v>
      </c>
      <c r="AX15" s="83">
        <v>21</v>
      </c>
      <c r="AY15" s="83">
        <v>21</v>
      </c>
      <c r="AZ15" s="77">
        <v>18</v>
      </c>
      <c r="BA15" s="83">
        <f t="shared" si="1"/>
        <v>-3</v>
      </c>
      <c r="BB15" s="70">
        <v>2</v>
      </c>
      <c r="BC15" s="70">
        <v>40</v>
      </c>
      <c r="BD15" s="74">
        <v>4</v>
      </c>
      <c r="BE15" s="65">
        <v>36</v>
      </c>
      <c r="BF15" s="75">
        <v>18</v>
      </c>
      <c r="BG15" s="65">
        <v>17.5</v>
      </c>
      <c r="BH15" s="65" t="s">
        <v>131</v>
      </c>
      <c r="BI15" s="65" t="s">
        <v>132</v>
      </c>
      <c r="BJ15" s="71" t="s">
        <v>133</v>
      </c>
      <c r="BK15" s="50"/>
      <c r="BL15" s="50"/>
      <c r="BM15" s="50"/>
      <c r="BN15" s="50"/>
      <c r="BO15" s="50"/>
      <c r="BP15" s="50"/>
    </row>
    <row r="16" spans="1:68" ht="165">
      <c r="A16" s="64" t="s">
        <v>102</v>
      </c>
      <c r="B16" s="65" t="s">
        <v>103</v>
      </c>
      <c r="C16" s="65" t="s">
        <v>104</v>
      </c>
      <c r="D16" s="65" t="s">
        <v>105</v>
      </c>
      <c r="E16" s="66" t="s">
        <v>123</v>
      </c>
      <c r="F16" s="66" t="s">
        <v>107</v>
      </c>
      <c r="G16" s="66" t="s">
        <v>108</v>
      </c>
      <c r="H16" s="66" t="s">
        <v>124</v>
      </c>
      <c r="I16" s="66" t="s">
        <v>125</v>
      </c>
      <c r="J16" s="66" t="s">
        <v>111</v>
      </c>
      <c r="K16" s="67" t="s">
        <v>112</v>
      </c>
      <c r="L16" s="66" t="s">
        <v>113</v>
      </c>
      <c r="M16" s="66" t="s">
        <v>114</v>
      </c>
      <c r="N16" s="66" t="s">
        <v>115</v>
      </c>
      <c r="O16" s="65" t="s">
        <v>116</v>
      </c>
      <c r="P16" s="65" t="s">
        <v>117</v>
      </c>
      <c r="Q16" s="68" t="s">
        <v>118</v>
      </c>
      <c r="R16" s="68" t="s">
        <v>119</v>
      </c>
      <c r="S16" s="68" t="s">
        <v>120</v>
      </c>
      <c r="T16" s="69" t="s">
        <v>121</v>
      </c>
      <c r="U16" s="89"/>
      <c r="V16" s="64" t="s">
        <v>122</v>
      </c>
      <c r="W16" s="65" t="s">
        <v>103</v>
      </c>
      <c r="X16" s="65" t="s">
        <v>104</v>
      </c>
      <c r="Y16" s="65" t="s">
        <v>105</v>
      </c>
      <c r="Z16" s="66" t="s">
        <v>123</v>
      </c>
      <c r="AA16" s="66" t="s">
        <v>107</v>
      </c>
      <c r="AB16" s="66" t="s">
        <v>108</v>
      </c>
      <c r="AC16" s="66" t="s">
        <v>124</v>
      </c>
      <c r="AD16" s="66" t="s">
        <v>125</v>
      </c>
      <c r="AE16" s="66" t="s">
        <v>111</v>
      </c>
      <c r="AF16" s="67" t="s">
        <v>112</v>
      </c>
      <c r="AG16" s="66" t="s">
        <v>126</v>
      </c>
      <c r="AH16" s="66" t="s">
        <v>115</v>
      </c>
      <c r="AI16" s="66" t="s">
        <v>114</v>
      </c>
      <c r="AJ16" s="65" t="s">
        <v>116</v>
      </c>
      <c r="AK16" s="65" t="s">
        <v>117</v>
      </c>
      <c r="AL16" s="68" t="s">
        <v>118</v>
      </c>
      <c r="AM16" s="68" t="s">
        <v>119</v>
      </c>
      <c r="AN16" s="68" t="s">
        <v>120</v>
      </c>
      <c r="AO16" s="69" t="s">
        <v>121</v>
      </c>
      <c r="AP16" s="56"/>
      <c r="AQ16" s="64" t="s">
        <v>135</v>
      </c>
      <c r="AR16" s="65" t="s">
        <v>129</v>
      </c>
      <c r="AS16" s="65">
        <v>96</v>
      </c>
      <c r="AT16" s="65">
        <v>228</v>
      </c>
      <c r="AU16" s="83">
        <v>13</v>
      </c>
      <c r="AV16" s="70">
        <v>241</v>
      </c>
      <c r="AW16" s="70">
        <v>300</v>
      </c>
      <c r="AX16" s="83">
        <v>22</v>
      </c>
      <c r="AY16" s="83">
        <v>22</v>
      </c>
      <c r="AZ16" s="77">
        <v>18</v>
      </c>
      <c r="BA16" s="83">
        <f t="shared" si="1"/>
        <v>-4</v>
      </c>
      <c r="BB16" s="70">
        <v>2</v>
      </c>
      <c r="BC16" s="70">
        <v>40</v>
      </c>
      <c r="BD16" s="74">
        <v>4</v>
      </c>
      <c r="BE16" s="65">
        <v>36</v>
      </c>
      <c r="BF16" s="75">
        <v>18</v>
      </c>
      <c r="BG16" s="65">
        <v>17.5</v>
      </c>
      <c r="BH16" s="65" t="s">
        <v>131</v>
      </c>
      <c r="BI16" s="65" t="s">
        <v>132</v>
      </c>
      <c r="BJ16" s="71" t="s">
        <v>133</v>
      </c>
      <c r="BK16" s="50"/>
      <c r="BL16" s="50"/>
      <c r="BM16" s="50"/>
      <c r="BN16" s="50"/>
      <c r="BO16" s="50"/>
      <c r="BP16" s="50"/>
    </row>
    <row r="17" spans="1:68" ht="165">
      <c r="A17" s="64" t="s">
        <v>138</v>
      </c>
      <c r="B17" s="65" t="s">
        <v>129</v>
      </c>
      <c r="C17" s="65">
        <v>60</v>
      </c>
      <c r="D17" s="65">
        <v>120</v>
      </c>
      <c r="E17" s="70">
        <v>10</v>
      </c>
      <c r="F17" s="70">
        <v>40</v>
      </c>
      <c r="G17" s="70">
        <v>96</v>
      </c>
      <c r="H17" s="70">
        <v>4</v>
      </c>
      <c r="I17" s="70">
        <v>4</v>
      </c>
      <c r="J17" s="70">
        <v>7</v>
      </c>
      <c r="K17" s="70">
        <f>J17-I17</f>
        <v>3</v>
      </c>
      <c r="L17" s="70">
        <v>1.5</v>
      </c>
      <c r="M17" s="70" t="s">
        <v>130</v>
      </c>
      <c r="N17" s="70">
        <v>1</v>
      </c>
      <c r="O17" s="65">
        <v>20</v>
      </c>
      <c r="P17" s="65">
        <v>10</v>
      </c>
      <c r="Q17" s="65">
        <v>35</v>
      </c>
      <c r="R17" s="65" t="s">
        <v>131</v>
      </c>
      <c r="S17" s="65" t="s">
        <v>132</v>
      </c>
      <c r="T17" s="71" t="s">
        <v>133</v>
      </c>
      <c r="U17" s="76"/>
      <c r="V17" s="64" t="s">
        <v>139</v>
      </c>
      <c r="W17" s="65" t="s">
        <v>129</v>
      </c>
      <c r="X17" s="65">
        <v>60</v>
      </c>
      <c r="Y17" s="65">
        <v>192</v>
      </c>
      <c r="Z17" s="70">
        <v>15</v>
      </c>
      <c r="AA17" s="70">
        <v>60</v>
      </c>
      <c r="AB17" s="65">
        <v>120</v>
      </c>
      <c r="AC17" s="70">
        <v>4</v>
      </c>
      <c r="AD17" s="70">
        <v>4</v>
      </c>
      <c r="AE17" s="70">
        <v>13</v>
      </c>
      <c r="AF17" s="70">
        <f>AE17-AD17</f>
        <v>9</v>
      </c>
      <c r="AG17" s="70">
        <v>1.5</v>
      </c>
      <c r="AH17" s="74">
        <v>2</v>
      </c>
      <c r="AI17" s="70">
        <v>25</v>
      </c>
      <c r="AJ17" s="65">
        <v>20</v>
      </c>
      <c r="AK17" s="65">
        <v>10</v>
      </c>
      <c r="AL17" s="65">
        <v>17.5</v>
      </c>
      <c r="AM17" s="65" t="s">
        <v>131</v>
      </c>
      <c r="AN17" s="65" t="s">
        <v>132</v>
      </c>
      <c r="AO17" s="71" t="s">
        <v>133</v>
      </c>
      <c r="AP17" s="56"/>
      <c r="AQ17" s="64" t="s">
        <v>135</v>
      </c>
      <c r="AR17" s="65" t="s">
        <v>129</v>
      </c>
      <c r="AS17" s="65">
        <v>96</v>
      </c>
      <c r="AT17" s="65">
        <v>228</v>
      </c>
      <c r="AU17" s="83">
        <v>11</v>
      </c>
      <c r="AV17" s="70">
        <v>241</v>
      </c>
      <c r="AW17" s="70">
        <v>300</v>
      </c>
      <c r="AX17" s="83">
        <v>23</v>
      </c>
      <c r="AY17" s="83">
        <v>23</v>
      </c>
      <c r="AZ17" s="77">
        <v>18</v>
      </c>
      <c r="BA17" s="83">
        <f t="shared" si="1"/>
        <v>-5</v>
      </c>
      <c r="BB17" s="70">
        <v>2</v>
      </c>
      <c r="BC17" s="70">
        <v>40</v>
      </c>
      <c r="BD17" s="74">
        <v>4</v>
      </c>
      <c r="BE17" s="65">
        <v>36</v>
      </c>
      <c r="BF17" s="75">
        <v>18</v>
      </c>
      <c r="BG17" s="65">
        <v>17.5</v>
      </c>
      <c r="BH17" s="65" t="s">
        <v>131</v>
      </c>
      <c r="BI17" s="65" t="s">
        <v>132</v>
      </c>
      <c r="BJ17" s="71" t="s">
        <v>133</v>
      </c>
      <c r="BK17" s="50"/>
      <c r="BL17" s="50"/>
      <c r="BM17" s="50"/>
      <c r="BN17" s="50"/>
      <c r="BO17" s="50"/>
      <c r="BP17" s="50"/>
    </row>
    <row r="18" spans="1:68" ht="165.75" thickBot="1">
      <c r="A18" s="64" t="s">
        <v>138</v>
      </c>
      <c r="B18" s="65" t="s">
        <v>129</v>
      </c>
      <c r="C18" s="65">
        <v>60</v>
      </c>
      <c r="D18" s="65">
        <v>120</v>
      </c>
      <c r="E18" s="70">
        <v>9</v>
      </c>
      <c r="F18" s="70">
        <v>40</v>
      </c>
      <c r="G18" s="70">
        <v>96</v>
      </c>
      <c r="H18" s="70">
        <v>5</v>
      </c>
      <c r="I18" s="70">
        <v>5</v>
      </c>
      <c r="J18" s="70">
        <v>7</v>
      </c>
      <c r="K18" s="70">
        <f t="shared" ref="K18:K23" si="3">J18-I18</f>
        <v>2</v>
      </c>
      <c r="L18" s="70">
        <v>1.5</v>
      </c>
      <c r="M18" s="70" t="s">
        <v>130</v>
      </c>
      <c r="N18" s="70">
        <v>1</v>
      </c>
      <c r="O18" s="65">
        <v>20</v>
      </c>
      <c r="P18" s="65">
        <v>10</v>
      </c>
      <c r="Q18" s="65">
        <v>35</v>
      </c>
      <c r="R18" s="65" t="s">
        <v>131</v>
      </c>
      <c r="S18" s="65" t="s">
        <v>132</v>
      </c>
      <c r="T18" s="71" t="s">
        <v>133</v>
      </c>
      <c r="U18" s="76"/>
      <c r="V18" s="64" t="s">
        <v>139</v>
      </c>
      <c r="W18" s="65" t="s">
        <v>129</v>
      </c>
      <c r="X18" s="65">
        <v>60</v>
      </c>
      <c r="Y18" s="65">
        <v>192</v>
      </c>
      <c r="Z18" s="70">
        <v>14</v>
      </c>
      <c r="AA18" s="70">
        <v>121</v>
      </c>
      <c r="AB18" s="65">
        <v>180</v>
      </c>
      <c r="AC18" s="70">
        <v>5</v>
      </c>
      <c r="AD18" s="70">
        <v>5</v>
      </c>
      <c r="AE18" s="70">
        <v>13</v>
      </c>
      <c r="AF18" s="70">
        <f>AE18-AD18</f>
        <v>8</v>
      </c>
      <c r="AG18" s="70">
        <v>1.5</v>
      </c>
      <c r="AH18" s="74">
        <v>3</v>
      </c>
      <c r="AI18" s="70">
        <v>30</v>
      </c>
      <c r="AJ18" s="65">
        <v>25</v>
      </c>
      <c r="AK18" s="75">
        <v>12</v>
      </c>
      <c r="AL18" s="65">
        <v>17.5</v>
      </c>
      <c r="AM18" s="65" t="s">
        <v>131</v>
      </c>
      <c r="AN18" s="65" t="s">
        <v>132</v>
      </c>
      <c r="AO18" s="71" t="s">
        <v>133</v>
      </c>
      <c r="AP18" s="56"/>
      <c r="AQ18" s="79" t="s">
        <v>135</v>
      </c>
      <c r="AR18" s="80" t="s">
        <v>129</v>
      </c>
      <c r="AS18" s="80">
        <v>96</v>
      </c>
      <c r="AT18" s="80">
        <v>228</v>
      </c>
      <c r="AU18" s="90">
        <v>10</v>
      </c>
      <c r="AV18" s="81">
        <v>241</v>
      </c>
      <c r="AW18" s="81">
        <v>300</v>
      </c>
      <c r="AX18" s="83">
        <v>24</v>
      </c>
      <c r="AY18" s="83">
        <v>24</v>
      </c>
      <c r="AZ18" s="85">
        <v>18</v>
      </c>
      <c r="BA18" s="83">
        <f t="shared" si="1"/>
        <v>-6</v>
      </c>
      <c r="BB18" s="81">
        <v>2</v>
      </c>
      <c r="BC18" s="81">
        <v>40</v>
      </c>
      <c r="BD18" s="87">
        <v>4</v>
      </c>
      <c r="BE18" s="80">
        <v>36</v>
      </c>
      <c r="BF18" s="88">
        <v>18</v>
      </c>
      <c r="BG18" s="80">
        <v>17.5</v>
      </c>
      <c r="BH18" s="80" t="s">
        <v>131</v>
      </c>
      <c r="BI18" s="80" t="s">
        <v>132</v>
      </c>
      <c r="BJ18" s="82" t="s">
        <v>133</v>
      </c>
      <c r="BK18" s="50"/>
      <c r="BL18" s="50"/>
      <c r="BM18" s="50"/>
      <c r="BN18" s="50"/>
      <c r="BO18" s="50"/>
      <c r="BP18" s="50"/>
    </row>
    <row r="19" spans="1:68" ht="165.75" thickBot="1">
      <c r="A19" s="64" t="s">
        <v>138</v>
      </c>
      <c r="B19" s="65" t="s">
        <v>129</v>
      </c>
      <c r="C19" s="65">
        <v>60</v>
      </c>
      <c r="D19" s="65">
        <v>120</v>
      </c>
      <c r="E19" s="70">
        <v>8</v>
      </c>
      <c r="F19" s="70">
        <v>40</v>
      </c>
      <c r="G19" s="70">
        <v>96</v>
      </c>
      <c r="H19" s="70">
        <v>6</v>
      </c>
      <c r="I19" s="70">
        <v>6</v>
      </c>
      <c r="J19" s="70">
        <v>7</v>
      </c>
      <c r="K19" s="70">
        <f t="shared" si="3"/>
        <v>1</v>
      </c>
      <c r="L19" s="70">
        <v>1.5</v>
      </c>
      <c r="M19" s="70" t="s">
        <v>130</v>
      </c>
      <c r="N19" s="70">
        <v>1</v>
      </c>
      <c r="O19" s="65">
        <v>20</v>
      </c>
      <c r="P19" s="65">
        <v>10</v>
      </c>
      <c r="Q19" s="65">
        <v>35</v>
      </c>
      <c r="R19" s="65" t="s">
        <v>131</v>
      </c>
      <c r="S19" s="65" t="s">
        <v>132</v>
      </c>
      <c r="T19" s="71" t="s">
        <v>133</v>
      </c>
      <c r="U19" s="76"/>
      <c r="V19" s="64" t="s">
        <v>139</v>
      </c>
      <c r="W19" s="65" t="s">
        <v>129</v>
      </c>
      <c r="X19" s="65">
        <v>60</v>
      </c>
      <c r="Y19" s="65">
        <v>192</v>
      </c>
      <c r="Z19" s="70">
        <v>13</v>
      </c>
      <c r="AA19" s="70">
        <v>181</v>
      </c>
      <c r="AB19" s="65">
        <v>300</v>
      </c>
      <c r="AC19" s="70">
        <v>6</v>
      </c>
      <c r="AD19" s="70">
        <v>6</v>
      </c>
      <c r="AE19" s="70">
        <v>13</v>
      </c>
      <c r="AF19" s="70">
        <f t="shared" ref="AF19:AF26" si="4">AE19-AD19</f>
        <v>7</v>
      </c>
      <c r="AG19" s="70">
        <v>2</v>
      </c>
      <c r="AH19" s="74">
        <v>3</v>
      </c>
      <c r="AI19" s="70">
        <v>40</v>
      </c>
      <c r="AJ19" s="65">
        <v>30</v>
      </c>
      <c r="AK19" s="75">
        <v>15</v>
      </c>
      <c r="AL19" s="65">
        <v>17.5</v>
      </c>
      <c r="AM19" s="65" t="s">
        <v>131</v>
      </c>
      <c r="AN19" s="65" t="s">
        <v>132</v>
      </c>
      <c r="AO19" s="71" t="s">
        <v>133</v>
      </c>
      <c r="AP19" s="56"/>
      <c r="AQ19" s="56"/>
      <c r="AR19" s="56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0"/>
      <c r="BD19" s="50"/>
      <c r="BE19" s="50"/>
      <c r="BF19" s="50"/>
      <c r="BG19" s="50"/>
      <c r="BH19" s="55"/>
      <c r="BI19" s="50"/>
      <c r="BJ19" s="50"/>
      <c r="BK19" s="50"/>
      <c r="BL19" s="50"/>
      <c r="BM19" s="50"/>
      <c r="BN19" s="50"/>
      <c r="BO19" s="50"/>
      <c r="BP19" s="50"/>
    </row>
    <row r="20" spans="1:68" ht="165.75" thickBot="1">
      <c r="A20" s="64" t="s">
        <v>138</v>
      </c>
      <c r="B20" s="65" t="s">
        <v>129</v>
      </c>
      <c r="C20" s="65">
        <v>60</v>
      </c>
      <c r="D20" s="65">
        <v>120</v>
      </c>
      <c r="E20" s="70">
        <v>7</v>
      </c>
      <c r="F20" s="70">
        <v>40</v>
      </c>
      <c r="G20" s="70">
        <v>96</v>
      </c>
      <c r="H20" s="70">
        <v>7</v>
      </c>
      <c r="I20" s="70">
        <v>7</v>
      </c>
      <c r="J20" s="70">
        <v>7</v>
      </c>
      <c r="K20" s="77">
        <f t="shared" si="3"/>
        <v>0</v>
      </c>
      <c r="L20" s="70">
        <v>1.5</v>
      </c>
      <c r="M20" s="70" t="s">
        <v>130</v>
      </c>
      <c r="N20" s="70">
        <v>1</v>
      </c>
      <c r="O20" s="65">
        <v>20</v>
      </c>
      <c r="P20" s="65">
        <v>10</v>
      </c>
      <c r="Q20" s="65">
        <v>35</v>
      </c>
      <c r="R20" s="65" t="s">
        <v>131</v>
      </c>
      <c r="S20" s="65" t="s">
        <v>132</v>
      </c>
      <c r="T20" s="71" t="s">
        <v>133</v>
      </c>
      <c r="U20" s="76"/>
      <c r="V20" s="64" t="s">
        <v>139</v>
      </c>
      <c r="W20" s="65" t="s">
        <v>129</v>
      </c>
      <c r="X20" s="65">
        <v>60</v>
      </c>
      <c r="Y20" s="65">
        <v>192</v>
      </c>
      <c r="Z20" s="70">
        <v>12</v>
      </c>
      <c r="AA20" s="70">
        <v>241</v>
      </c>
      <c r="AB20" s="65">
        <v>300</v>
      </c>
      <c r="AC20" s="70">
        <v>7</v>
      </c>
      <c r="AD20" s="70">
        <v>7</v>
      </c>
      <c r="AE20" s="70">
        <v>13</v>
      </c>
      <c r="AF20" s="70">
        <f t="shared" si="4"/>
        <v>6</v>
      </c>
      <c r="AG20" s="70">
        <v>2</v>
      </c>
      <c r="AH20" s="74">
        <v>3</v>
      </c>
      <c r="AI20" s="70">
        <v>40</v>
      </c>
      <c r="AJ20" s="65">
        <v>30</v>
      </c>
      <c r="AK20" s="75">
        <v>15</v>
      </c>
      <c r="AL20" s="65">
        <v>17.5</v>
      </c>
      <c r="AM20" s="65" t="s">
        <v>131</v>
      </c>
      <c r="AN20" s="65" t="s">
        <v>132</v>
      </c>
      <c r="AO20" s="71" t="s">
        <v>133</v>
      </c>
      <c r="AP20" s="56"/>
      <c r="AQ20" s="61" t="s">
        <v>140</v>
      </c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3"/>
      <c r="BK20" s="55"/>
      <c r="BL20" s="55"/>
      <c r="BM20" s="55"/>
      <c r="BN20" s="55"/>
      <c r="BO20" s="55"/>
      <c r="BP20" s="50"/>
    </row>
    <row r="21" spans="1:68" ht="165">
      <c r="A21" s="64" t="s">
        <v>138</v>
      </c>
      <c r="B21" s="65" t="s">
        <v>129</v>
      </c>
      <c r="C21" s="65">
        <v>60</v>
      </c>
      <c r="D21" s="65">
        <v>120</v>
      </c>
      <c r="E21" s="70">
        <v>6</v>
      </c>
      <c r="F21" s="70">
        <v>40</v>
      </c>
      <c r="G21" s="70">
        <v>96</v>
      </c>
      <c r="H21" s="70">
        <v>7</v>
      </c>
      <c r="I21" s="70">
        <v>7</v>
      </c>
      <c r="J21" s="70">
        <v>7</v>
      </c>
      <c r="K21" s="77">
        <f t="shared" si="3"/>
        <v>0</v>
      </c>
      <c r="L21" s="70">
        <v>1.5</v>
      </c>
      <c r="M21" s="70" t="s">
        <v>130</v>
      </c>
      <c r="N21" s="70">
        <v>1</v>
      </c>
      <c r="O21" s="65">
        <v>20</v>
      </c>
      <c r="P21" s="65">
        <v>10</v>
      </c>
      <c r="Q21" s="65">
        <v>35</v>
      </c>
      <c r="R21" s="65" t="s">
        <v>131</v>
      </c>
      <c r="S21" s="65" t="s">
        <v>132</v>
      </c>
      <c r="T21" s="71" t="s">
        <v>133</v>
      </c>
      <c r="U21" s="76"/>
      <c r="V21" s="64" t="s">
        <v>139</v>
      </c>
      <c r="W21" s="65" t="s">
        <v>129</v>
      </c>
      <c r="X21" s="65">
        <v>60</v>
      </c>
      <c r="Y21" s="65">
        <v>192</v>
      </c>
      <c r="Z21" s="70">
        <v>11</v>
      </c>
      <c r="AA21" s="70">
        <v>241</v>
      </c>
      <c r="AB21" s="65">
        <v>300</v>
      </c>
      <c r="AC21" s="70">
        <v>8</v>
      </c>
      <c r="AD21" s="70">
        <v>8</v>
      </c>
      <c r="AE21" s="70">
        <v>13</v>
      </c>
      <c r="AF21" s="70">
        <f t="shared" si="4"/>
        <v>5</v>
      </c>
      <c r="AG21" s="70">
        <v>2</v>
      </c>
      <c r="AH21" s="74">
        <v>3</v>
      </c>
      <c r="AI21" s="70">
        <v>40</v>
      </c>
      <c r="AJ21" s="65">
        <v>30</v>
      </c>
      <c r="AK21" s="75">
        <v>15</v>
      </c>
      <c r="AL21" s="65">
        <v>17.5</v>
      </c>
      <c r="AM21" s="65" t="s">
        <v>131</v>
      </c>
      <c r="AN21" s="65" t="s">
        <v>132</v>
      </c>
      <c r="AO21" s="71" t="s">
        <v>133</v>
      </c>
      <c r="AP21" s="56"/>
      <c r="AQ21" s="64" t="s">
        <v>102</v>
      </c>
      <c r="AR21" s="65" t="s">
        <v>141</v>
      </c>
      <c r="AS21" s="65" t="s">
        <v>104</v>
      </c>
      <c r="AT21" s="65" t="s">
        <v>105</v>
      </c>
      <c r="AU21" s="66" t="s">
        <v>123</v>
      </c>
      <c r="AV21" s="66" t="s">
        <v>107</v>
      </c>
      <c r="AW21" s="66" t="s">
        <v>108</v>
      </c>
      <c r="AX21" s="66" t="s">
        <v>124</v>
      </c>
      <c r="AY21" s="66" t="s">
        <v>125</v>
      </c>
      <c r="AZ21" s="66" t="s">
        <v>111</v>
      </c>
      <c r="BA21" s="67" t="s">
        <v>112</v>
      </c>
      <c r="BB21" s="66" t="s">
        <v>126</v>
      </c>
      <c r="BC21" s="66" t="s">
        <v>114</v>
      </c>
      <c r="BD21" s="66" t="s">
        <v>115</v>
      </c>
      <c r="BE21" s="65" t="s">
        <v>116</v>
      </c>
      <c r="BF21" s="65" t="s">
        <v>117</v>
      </c>
      <c r="BG21" s="68" t="s">
        <v>118</v>
      </c>
      <c r="BH21" s="68" t="s">
        <v>119</v>
      </c>
      <c r="BI21" s="68" t="s">
        <v>120</v>
      </c>
      <c r="BJ21" s="69" t="s">
        <v>121</v>
      </c>
      <c r="BK21" s="50"/>
      <c r="BL21" s="50"/>
      <c r="BM21" s="50"/>
      <c r="BN21" s="50"/>
      <c r="BO21" s="50"/>
      <c r="BP21" s="50"/>
    </row>
    <row r="22" spans="1:68" ht="165">
      <c r="A22" s="64" t="s">
        <v>138</v>
      </c>
      <c r="B22" s="65" t="s">
        <v>129</v>
      </c>
      <c r="C22" s="65">
        <v>60</v>
      </c>
      <c r="D22" s="65">
        <v>120</v>
      </c>
      <c r="E22" s="70">
        <v>5</v>
      </c>
      <c r="F22" s="70">
        <v>40</v>
      </c>
      <c r="G22" s="70">
        <v>96</v>
      </c>
      <c r="H22" s="70">
        <v>7</v>
      </c>
      <c r="I22" s="70">
        <v>7</v>
      </c>
      <c r="J22" s="70">
        <v>7</v>
      </c>
      <c r="K22" s="77">
        <f t="shared" si="3"/>
        <v>0</v>
      </c>
      <c r="L22" s="70">
        <v>1.5</v>
      </c>
      <c r="M22" s="70" t="s">
        <v>130</v>
      </c>
      <c r="N22" s="70">
        <v>1</v>
      </c>
      <c r="O22" s="65">
        <v>20</v>
      </c>
      <c r="P22" s="65">
        <v>10</v>
      </c>
      <c r="Q22" s="65">
        <v>35</v>
      </c>
      <c r="R22" s="65" t="s">
        <v>131</v>
      </c>
      <c r="S22" s="65" t="s">
        <v>132</v>
      </c>
      <c r="T22" s="71" t="s">
        <v>133</v>
      </c>
      <c r="U22" s="76"/>
      <c r="V22" s="64" t="s">
        <v>139</v>
      </c>
      <c r="W22" s="65" t="s">
        <v>129</v>
      </c>
      <c r="X22" s="65">
        <v>60</v>
      </c>
      <c r="Y22" s="65">
        <v>192</v>
      </c>
      <c r="Z22" s="70">
        <v>10</v>
      </c>
      <c r="AA22" s="70">
        <v>241</v>
      </c>
      <c r="AB22" s="65">
        <v>300</v>
      </c>
      <c r="AC22" s="70">
        <v>9</v>
      </c>
      <c r="AD22" s="70">
        <v>9</v>
      </c>
      <c r="AE22" s="70">
        <v>13</v>
      </c>
      <c r="AF22" s="70">
        <f t="shared" si="4"/>
        <v>4</v>
      </c>
      <c r="AG22" s="70">
        <v>2</v>
      </c>
      <c r="AH22" s="74">
        <v>3</v>
      </c>
      <c r="AI22" s="70">
        <v>40</v>
      </c>
      <c r="AJ22" s="65">
        <v>30</v>
      </c>
      <c r="AK22" s="75">
        <v>15</v>
      </c>
      <c r="AL22" s="65">
        <v>17.5</v>
      </c>
      <c r="AM22" s="65" t="s">
        <v>131</v>
      </c>
      <c r="AN22" s="65" t="s">
        <v>132</v>
      </c>
      <c r="AO22" s="71" t="s">
        <v>133</v>
      </c>
      <c r="AP22" s="56"/>
      <c r="AQ22" s="91" t="s">
        <v>142</v>
      </c>
      <c r="AR22" s="65" t="s">
        <v>129</v>
      </c>
      <c r="AS22" s="65">
        <v>96</v>
      </c>
      <c r="AT22" s="65">
        <v>228</v>
      </c>
      <c r="AU22" s="70">
        <v>25</v>
      </c>
      <c r="AV22" s="70">
        <v>120</v>
      </c>
      <c r="AW22" s="70">
        <v>180</v>
      </c>
      <c r="AX22" s="70">
        <v>10</v>
      </c>
      <c r="AY22" s="70">
        <v>10</v>
      </c>
      <c r="AZ22" s="70">
        <v>18</v>
      </c>
      <c r="BA22" s="70">
        <f>AZ22-AY22</f>
        <v>8</v>
      </c>
      <c r="BB22" s="70">
        <v>1.5</v>
      </c>
      <c r="BC22" s="70">
        <v>30</v>
      </c>
      <c r="BD22" s="74">
        <v>3</v>
      </c>
      <c r="BE22" s="65">
        <v>25</v>
      </c>
      <c r="BF22" s="75">
        <v>12</v>
      </c>
      <c r="BG22" s="65">
        <v>17.5</v>
      </c>
      <c r="BH22" s="65" t="s">
        <v>131</v>
      </c>
      <c r="BI22" s="65" t="s">
        <v>132</v>
      </c>
      <c r="BJ22" s="71" t="s">
        <v>133</v>
      </c>
      <c r="BK22" s="50"/>
      <c r="BL22" s="50"/>
      <c r="BM22" s="50"/>
      <c r="BN22" s="50"/>
      <c r="BO22" s="50"/>
      <c r="BP22" s="50"/>
    </row>
    <row r="23" spans="1:68" ht="165.75" thickBot="1">
      <c r="A23" s="79" t="s">
        <v>138</v>
      </c>
      <c r="B23" s="80" t="s">
        <v>129</v>
      </c>
      <c r="C23" s="80">
        <v>60</v>
      </c>
      <c r="D23" s="80">
        <v>120</v>
      </c>
      <c r="E23" s="81">
        <v>4</v>
      </c>
      <c r="F23" s="81">
        <v>40</v>
      </c>
      <c r="G23" s="81">
        <v>96</v>
      </c>
      <c r="H23" s="81">
        <v>7</v>
      </c>
      <c r="I23" s="81">
        <v>7</v>
      </c>
      <c r="J23" s="81">
        <v>7</v>
      </c>
      <c r="K23" s="77">
        <f t="shared" si="3"/>
        <v>0</v>
      </c>
      <c r="L23" s="81">
        <v>1.5</v>
      </c>
      <c r="M23" s="81" t="s">
        <v>130</v>
      </c>
      <c r="N23" s="81">
        <v>1</v>
      </c>
      <c r="O23" s="80">
        <v>20</v>
      </c>
      <c r="P23" s="80">
        <v>10</v>
      </c>
      <c r="Q23" s="80">
        <v>35</v>
      </c>
      <c r="R23" s="80" t="s">
        <v>131</v>
      </c>
      <c r="S23" s="80" t="s">
        <v>132</v>
      </c>
      <c r="T23" s="82" t="s">
        <v>133</v>
      </c>
      <c r="U23" s="76"/>
      <c r="V23" s="64" t="s">
        <v>139</v>
      </c>
      <c r="W23" s="65" t="s">
        <v>129</v>
      </c>
      <c r="X23" s="65">
        <v>60</v>
      </c>
      <c r="Y23" s="65">
        <v>192</v>
      </c>
      <c r="Z23" s="70">
        <v>9</v>
      </c>
      <c r="AA23" s="70">
        <v>241</v>
      </c>
      <c r="AB23" s="65">
        <v>300</v>
      </c>
      <c r="AC23" s="70">
        <v>10</v>
      </c>
      <c r="AD23" s="70">
        <v>10</v>
      </c>
      <c r="AE23" s="70">
        <v>13</v>
      </c>
      <c r="AF23" s="70">
        <f t="shared" si="4"/>
        <v>3</v>
      </c>
      <c r="AG23" s="70">
        <v>2</v>
      </c>
      <c r="AH23" s="74">
        <v>3</v>
      </c>
      <c r="AI23" s="70">
        <v>40</v>
      </c>
      <c r="AJ23" s="65">
        <v>30</v>
      </c>
      <c r="AK23" s="75">
        <v>15</v>
      </c>
      <c r="AL23" s="65">
        <v>17.5</v>
      </c>
      <c r="AM23" s="65" t="s">
        <v>131</v>
      </c>
      <c r="AN23" s="65" t="s">
        <v>132</v>
      </c>
      <c r="AO23" s="71" t="s">
        <v>133</v>
      </c>
      <c r="AP23" s="56"/>
      <c r="AQ23" s="91" t="s">
        <v>142</v>
      </c>
      <c r="AR23" s="65" t="s">
        <v>129</v>
      </c>
      <c r="AS23" s="65">
        <v>96</v>
      </c>
      <c r="AT23" s="65">
        <v>228</v>
      </c>
      <c r="AU23" s="70">
        <v>24</v>
      </c>
      <c r="AV23" s="70">
        <v>180</v>
      </c>
      <c r="AW23" s="70">
        <v>240</v>
      </c>
      <c r="AX23" s="70">
        <v>11</v>
      </c>
      <c r="AY23" s="70">
        <v>11</v>
      </c>
      <c r="AZ23" s="70">
        <v>18</v>
      </c>
      <c r="BA23" s="70">
        <f t="shared" ref="BA23:BA35" si="5">AZ23-AY23</f>
        <v>7</v>
      </c>
      <c r="BB23" s="70">
        <v>1.5</v>
      </c>
      <c r="BC23" s="70">
        <v>35</v>
      </c>
      <c r="BD23" s="74">
        <v>3</v>
      </c>
      <c r="BE23" s="65">
        <v>30</v>
      </c>
      <c r="BF23" s="75">
        <v>15</v>
      </c>
      <c r="BG23" s="65">
        <v>17.5</v>
      </c>
      <c r="BH23" s="65" t="s">
        <v>131</v>
      </c>
      <c r="BI23" s="65" t="s">
        <v>132</v>
      </c>
      <c r="BJ23" s="71" t="s">
        <v>133</v>
      </c>
      <c r="BK23" s="50"/>
      <c r="BL23" s="50"/>
      <c r="BM23" s="50"/>
      <c r="BN23" s="50"/>
      <c r="BO23" s="50"/>
      <c r="BP23" s="50"/>
    </row>
    <row r="24" spans="1:68" ht="16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64" t="s">
        <v>139</v>
      </c>
      <c r="W24" s="65" t="s">
        <v>129</v>
      </c>
      <c r="X24" s="65">
        <v>60</v>
      </c>
      <c r="Y24" s="65">
        <v>192</v>
      </c>
      <c r="Z24" s="70">
        <v>8</v>
      </c>
      <c r="AA24" s="70">
        <v>241</v>
      </c>
      <c r="AB24" s="65">
        <v>300</v>
      </c>
      <c r="AC24" s="70">
        <v>11</v>
      </c>
      <c r="AD24" s="70">
        <v>11</v>
      </c>
      <c r="AE24" s="70">
        <v>13</v>
      </c>
      <c r="AF24" s="70">
        <f t="shared" si="4"/>
        <v>2</v>
      </c>
      <c r="AG24" s="70">
        <v>2</v>
      </c>
      <c r="AH24" s="74">
        <v>3</v>
      </c>
      <c r="AI24" s="70">
        <v>40</v>
      </c>
      <c r="AJ24" s="65">
        <v>30</v>
      </c>
      <c r="AK24" s="75">
        <v>15</v>
      </c>
      <c r="AL24" s="65">
        <v>17.5</v>
      </c>
      <c r="AM24" s="65" t="s">
        <v>131</v>
      </c>
      <c r="AN24" s="65" t="s">
        <v>132</v>
      </c>
      <c r="AO24" s="71" t="s">
        <v>133</v>
      </c>
      <c r="AP24" s="56"/>
      <c r="AQ24" s="91" t="s">
        <v>142</v>
      </c>
      <c r="AR24" s="65" t="s">
        <v>129</v>
      </c>
      <c r="AS24" s="65">
        <v>96</v>
      </c>
      <c r="AT24" s="65">
        <v>228</v>
      </c>
      <c r="AU24" s="70">
        <v>23</v>
      </c>
      <c r="AV24" s="70">
        <v>241</v>
      </c>
      <c r="AW24" s="70">
        <v>300</v>
      </c>
      <c r="AX24" s="70">
        <v>12</v>
      </c>
      <c r="AY24" s="70">
        <v>12</v>
      </c>
      <c r="AZ24" s="70">
        <v>18</v>
      </c>
      <c r="BA24" s="70">
        <f t="shared" si="5"/>
        <v>6</v>
      </c>
      <c r="BB24" s="70">
        <v>2</v>
      </c>
      <c r="BC24" s="70">
        <v>40</v>
      </c>
      <c r="BD24" s="74">
        <v>4</v>
      </c>
      <c r="BE24" s="65">
        <v>36</v>
      </c>
      <c r="BF24" s="75">
        <v>18</v>
      </c>
      <c r="BG24" s="65">
        <v>17.5</v>
      </c>
      <c r="BH24" s="65" t="s">
        <v>131</v>
      </c>
      <c r="BI24" s="65" t="s">
        <v>132</v>
      </c>
      <c r="BJ24" s="71" t="s">
        <v>133</v>
      </c>
      <c r="BK24" s="50"/>
      <c r="BL24" s="50"/>
      <c r="BM24" s="50"/>
      <c r="BN24" s="50"/>
      <c r="BO24" s="50"/>
      <c r="BP24" s="50"/>
    </row>
    <row r="25" spans="1:68" ht="16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64" t="s">
        <v>139</v>
      </c>
      <c r="W25" s="65" t="s">
        <v>129</v>
      </c>
      <c r="X25" s="65">
        <v>60</v>
      </c>
      <c r="Y25" s="65">
        <v>192</v>
      </c>
      <c r="Z25" s="70">
        <v>7</v>
      </c>
      <c r="AA25" s="70">
        <v>241</v>
      </c>
      <c r="AB25" s="65">
        <v>300</v>
      </c>
      <c r="AC25" s="70">
        <v>12</v>
      </c>
      <c r="AD25" s="70">
        <v>12</v>
      </c>
      <c r="AE25" s="70">
        <v>13</v>
      </c>
      <c r="AF25" s="70">
        <f t="shared" si="4"/>
        <v>1</v>
      </c>
      <c r="AG25" s="70">
        <v>2</v>
      </c>
      <c r="AH25" s="74">
        <v>3</v>
      </c>
      <c r="AI25" s="70">
        <v>40</v>
      </c>
      <c r="AJ25" s="65">
        <v>30</v>
      </c>
      <c r="AK25" s="75">
        <v>15</v>
      </c>
      <c r="AL25" s="65">
        <v>17.5</v>
      </c>
      <c r="AM25" s="65" t="s">
        <v>131</v>
      </c>
      <c r="AN25" s="65" t="s">
        <v>132</v>
      </c>
      <c r="AO25" s="71" t="s">
        <v>133</v>
      </c>
      <c r="AP25" s="56"/>
      <c r="AQ25" s="91" t="s">
        <v>142</v>
      </c>
      <c r="AR25" s="65" t="s">
        <v>129</v>
      </c>
      <c r="AS25" s="65">
        <v>96</v>
      </c>
      <c r="AT25" s="65">
        <v>228</v>
      </c>
      <c r="AU25" s="70">
        <v>22</v>
      </c>
      <c r="AV25" s="70">
        <v>241</v>
      </c>
      <c r="AW25" s="70">
        <v>300</v>
      </c>
      <c r="AX25" s="70">
        <v>13</v>
      </c>
      <c r="AY25" s="70">
        <v>13</v>
      </c>
      <c r="AZ25" s="70">
        <v>18</v>
      </c>
      <c r="BA25" s="70">
        <f t="shared" si="5"/>
        <v>5</v>
      </c>
      <c r="BB25" s="70">
        <v>2</v>
      </c>
      <c r="BC25" s="70">
        <v>40</v>
      </c>
      <c r="BD25" s="74">
        <v>4</v>
      </c>
      <c r="BE25" s="65">
        <v>36</v>
      </c>
      <c r="BF25" s="75">
        <v>18</v>
      </c>
      <c r="BG25" s="65">
        <v>17.5</v>
      </c>
      <c r="BH25" s="65" t="s">
        <v>131</v>
      </c>
      <c r="BI25" s="65" t="s">
        <v>132</v>
      </c>
      <c r="BJ25" s="71" t="s">
        <v>133</v>
      </c>
      <c r="BK25" s="50"/>
      <c r="BL25" s="50"/>
      <c r="BM25" s="50"/>
      <c r="BN25" s="50"/>
      <c r="BO25" s="50"/>
      <c r="BP25" s="50"/>
    </row>
    <row r="26" spans="1:68" ht="165.75" thickBot="1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79" t="s">
        <v>139</v>
      </c>
      <c r="W26" s="80" t="s">
        <v>129</v>
      </c>
      <c r="X26" s="80">
        <v>60</v>
      </c>
      <c r="Y26" s="80">
        <v>192</v>
      </c>
      <c r="Z26" s="81">
        <v>6</v>
      </c>
      <c r="AA26" s="81">
        <v>241</v>
      </c>
      <c r="AB26" s="80">
        <v>300</v>
      </c>
      <c r="AC26" s="81">
        <v>12</v>
      </c>
      <c r="AD26" s="81">
        <v>12</v>
      </c>
      <c r="AE26" s="81">
        <v>13</v>
      </c>
      <c r="AF26" s="70">
        <f t="shared" si="4"/>
        <v>1</v>
      </c>
      <c r="AG26" s="81">
        <v>2</v>
      </c>
      <c r="AH26" s="87">
        <v>3</v>
      </c>
      <c r="AI26" s="81">
        <v>40</v>
      </c>
      <c r="AJ26" s="80">
        <v>30</v>
      </c>
      <c r="AK26" s="88">
        <v>15</v>
      </c>
      <c r="AL26" s="80">
        <v>17.5</v>
      </c>
      <c r="AM26" s="80" t="s">
        <v>131</v>
      </c>
      <c r="AN26" s="80" t="s">
        <v>132</v>
      </c>
      <c r="AO26" s="82" t="s">
        <v>133</v>
      </c>
      <c r="AP26" s="56"/>
      <c r="AQ26" s="91" t="s">
        <v>142</v>
      </c>
      <c r="AR26" s="65" t="s">
        <v>129</v>
      </c>
      <c r="AS26" s="65">
        <v>96</v>
      </c>
      <c r="AT26" s="65">
        <v>228</v>
      </c>
      <c r="AU26" s="70">
        <v>21</v>
      </c>
      <c r="AV26" s="70">
        <v>241</v>
      </c>
      <c r="AW26" s="70">
        <v>300</v>
      </c>
      <c r="AX26" s="70">
        <v>14</v>
      </c>
      <c r="AY26" s="70">
        <v>14</v>
      </c>
      <c r="AZ26" s="70">
        <v>18</v>
      </c>
      <c r="BA26" s="70">
        <f t="shared" si="5"/>
        <v>4</v>
      </c>
      <c r="BB26" s="70">
        <v>2</v>
      </c>
      <c r="BC26" s="70">
        <v>40</v>
      </c>
      <c r="BD26" s="74">
        <v>4</v>
      </c>
      <c r="BE26" s="65">
        <v>36</v>
      </c>
      <c r="BF26" s="75">
        <v>18</v>
      </c>
      <c r="BG26" s="65">
        <v>17.5</v>
      </c>
      <c r="BH26" s="65" t="s">
        <v>131</v>
      </c>
      <c r="BI26" s="65" t="s">
        <v>132</v>
      </c>
      <c r="BJ26" s="71" t="s">
        <v>133</v>
      </c>
      <c r="BK26" s="50"/>
      <c r="BL26" s="50"/>
      <c r="BM26" s="50"/>
      <c r="BN26" s="50"/>
      <c r="BO26" s="50"/>
      <c r="BP26" s="50"/>
    </row>
    <row r="27" spans="1:68" ht="16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6"/>
      <c r="Y27" s="56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6"/>
      <c r="AL27" s="56"/>
      <c r="AM27" s="56"/>
      <c r="AN27" s="56"/>
      <c r="AO27" s="56"/>
      <c r="AP27" s="56"/>
      <c r="AQ27" s="91" t="s">
        <v>142</v>
      </c>
      <c r="AR27" s="65" t="s">
        <v>129</v>
      </c>
      <c r="AS27" s="65">
        <v>96</v>
      </c>
      <c r="AT27" s="65">
        <v>228</v>
      </c>
      <c r="AU27" s="70">
        <v>20</v>
      </c>
      <c r="AV27" s="70">
        <v>241</v>
      </c>
      <c r="AW27" s="70">
        <v>300</v>
      </c>
      <c r="AX27" s="70">
        <v>15</v>
      </c>
      <c r="AY27" s="70">
        <v>15</v>
      </c>
      <c r="AZ27" s="70">
        <v>18</v>
      </c>
      <c r="BA27" s="70">
        <f t="shared" si="5"/>
        <v>3</v>
      </c>
      <c r="BB27" s="70">
        <v>2</v>
      </c>
      <c r="BC27" s="70">
        <v>40</v>
      </c>
      <c r="BD27" s="74">
        <v>4</v>
      </c>
      <c r="BE27" s="65">
        <v>36</v>
      </c>
      <c r="BF27" s="75">
        <v>18</v>
      </c>
      <c r="BG27" s="65">
        <v>17.5</v>
      </c>
      <c r="BH27" s="65" t="s">
        <v>131</v>
      </c>
      <c r="BI27" s="65" t="s">
        <v>132</v>
      </c>
      <c r="BJ27" s="71" t="s">
        <v>133</v>
      </c>
      <c r="BK27" s="50"/>
      <c r="BL27" s="50"/>
      <c r="BM27" s="50"/>
      <c r="BN27" s="50"/>
      <c r="BO27" s="50"/>
      <c r="BP27" s="50"/>
    </row>
    <row r="28" spans="1:68" ht="165.75" thickBot="1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6"/>
      <c r="Y28" s="56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6"/>
      <c r="AL28" s="56"/>
      <c r="AM28" s="56"/>
      <c r="AN28" s="56"/>
      <c r="AO28" s="56"/>
      <c r="AP28" s="56"/>
      <c r="AQ28" s="91" t="s">
        <v>142</v>
      </c>
      <c r="AR28" s="65" t="s">
        <v>129</v>
      </c>
      <c r="AS28" s="65">
        <v>96</v>
      </c>
      <c r="AT28" s="65">
        <v>228</v>
      </c>
      <c r="AU28" s="70">
        <v>19</v>
      </c>
      <c r="AV28" s="70">
        <v>241</v>
      </c>
      <c r="AW28" s="70">
        <v>300</v>
      </c>
      <c r="AX28" s="70">
        <v>16</v>
      </c>
      <c r="AY28" s="70">
        <v>16</v>
      </c>
      <c r="AZ28" s="70">
        <v>18</v>
      </c>
      <c r="BA28" s="70">
        <f t="shared" si="5"/>
        <v>2</v>
      </c>
      <c r="BB28" s="70">
        <v>2</v>
      </c>
      <c r="BC28" s="70">
        <v>40</v>
      </c>
      <c r="BD28" s="74">
        <v>4</v>
      </c>
      <c r="BE28" s="65">
        <v>36</v>
      </c>
      <c r="BF28" s="75">
        <v>18</v>
      </c>
      <c r="BG28" s="65">
        <v>17.5</v>
      </c>
      <c r="BH28" s="65" t="s">
        <v>131</v>
      </c>
      <c r="BI28" s="65" t="s">
        <v>132</v>
      </c>
      <c r="BJ28" s="71" t="s">
        <v>133</v>
      </c>
      <c r="BK28" s="50"/>
      <c r="BL28" s="50"/>
      <c r="BM28" s="50"/>
      <c r="BN28" s="50"/>
      <c r="BO28" s="50"/>
      <c r="BP28" s="50"/>
    </row>
    <row r="29" spans="1:68" ht="165.75" thickBot="1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92" t="s">
        <v>143</v>
      </c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4"/>
      <c r="AP29" s="56"/>
      <c r="AQ29" s="91" t="s">
        <v>142</v>
      </c>
      <c r="AR29" s="65" t="s">
        <v>129</v>
      </c>
      <c r="AS29" s="65">
        <v>96</v>
      </c>
      <c r="AT29" s="65">
        <v>228</v>
      </c>
      <c r="AU29" s="70">
        <v>18</v>
      </c>
      <c r="AV29" s="70">
        <v>241</v>
      </c>
      <c r="AW29" s="70">
        <v>300</v>
      </c>
      <c r="AX29" s="70">
        <v>17</v>
      </c>
      <c r="AY29" s="70">
        <v>17</v>
      </c>
      <c r="AZ29" s="70">
        <v>18</v>
      </c>
      <c r="BA29" s="70">
        <f t="shared" si="5"/>
        <v>1</v>
      </c>
      <c r="BB29" s="70">
        <v>2</v>
      </c>
      <c r="BC29" s="70">
        <v>40</v>
      </c>
      <c r="BD29" s="74">
        <v>4</v>
      </c>
      <c r="BE29" s="65">
        <v>36</v>
      </c>
      <c r="BF29" s="75">
        <v>18</v>
      </c>
      <c r="BG29" s="65">
        <v>17.5</v>
      </c>
      <c r="BH29" s="65" t="s">
        <v>131</v>
      </c>
      <c r="BI29" s="65" t="s">
        <v>132</v>
      </c>
      <c r="BJ29" s="71" t="s">
        <v>133</v>
      </c>
      <c r="BK29" s="50"/>
      <c r="BL29" s="50"/>
      <c r="BM29" s="50"/>
      <c r="BN29" s="50"/>
      <c r="BO29" s="50"/>
      <c r="BP29" s="50"/>
    </row>
    <row r="30" spans="1:68" ht="16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64" t="s">
        <v>122</v>
      </c>
      <c r="W30" s="65" t="s">
        <v>103</v>
      </c>
      <c r="X30" s="65" t="s">
        <v>104</v>
      </c>
      <c r="Y30" s="65" t="s">
        <v>105</v>
      </c>
      <c r="Z30" s="66" t="s">
        <v>123</v>
      </c>
      <c r="AA30" s="66" t="s">
        <v>107</v>
      </c>
      <c r="AB30" s="66" t="s">
        <v>108</v>
      </c>
      <c r="AC30" s="66" t="s">
        <v>109</v>
      </c>
      <c r="AD30" s="66" t="s">
        <v>110</v>
      </c>
      <c r="AE30" s="66" t="s">
        <v>144</v>
      </c>
      <c r="AF30" s="67" t="s">
        <v>112</v>
      </c>
      <c r="AG30" s="66" t="s">
        <v>126</v>
      </c>
      <c r="AH30" s="66" t="s">
        <v>115</v>
      </c>
      <c r="AI30" s="66" t="s">
        <v>114</v>
      </c>
      <c r="AJ30" s="65" t="s">
        <v>116</v>
      </c>
      <c r="AK30" s="65" t="s">
        <v>117</v>
      </c>
      <c r="AL30" s="68" t="s">
        <v>118</v>
      </c>
      <c r="AM30" s="68" t="s">
        <v>119</v>
      </c>
      <c r="AN30" s="95" t="s">
        <v>120</v>
      </c>
      <c r="AO30" s="69" t="s">
        <v>121</v>
      </c>
      <c r="AP30" s="56"/>
      <c r="AQ30" s="91" t="s">
        <v>142</v>
      </c>
      <c r="AR30" s="65" t="s">
        <v>129</v>
      </c>
      <c r="AS30" s="65">
        <v>96</v>
      </c>
      <c r="AT30" s="65">
        <v>228</v>
      </c>
      <c r="AU30" s="84">
        <v>16</v>
      </c>
      <c r="AV30" s="70">
        <v>241</v>
      </c>
      <c r="AW30" s="70">
        <v>300</v>
      </c>
      <c r="AX30" s="84">
        <v>18</v>
      </c>
      <c r="AY30" s="84">
        <v>18</v>
      </c>
      <c r="AZ30" s="84">
        <v>18</v>
      </c>
      <c r="BA30" s="84">
        <f t="shared" si="5"/>
        <v>0</v>
      </c>
      <c r="BB30" s="70">
        <v>2</v>
      </c>
      <c r="BC30" s="70">
        <v>40</v>
      </c>
      <c r="BD30" s="74">
        <v>4</v>
      </c>
      <c r="BE30" s="65">
        <v>36</v>
      </c>
      <c r="BF30" s="75">
        <v>18</v>
      </c>
      <c r="BG30" s="65">
        <v>17.5</v>
      </c>
      <c r="BH30" s="65" t="s">
        <v>131</v>
      </c>
      <c r="BI30" s="65" t="s">
        <v>132</v>
      </c>
      <c r="BJ30" s="71" t="s">
        <v>133</v>
      </c>
      <c r="BK30" s="50"/>
      <c r="BL30" s="50"/>
      <c r="BM30" s="50"/>
      <c r="BN30" s="50"/>
      <c r="BO30" s="50"/>
      <c r="BP30" s="50"/>
    </row>
    <row r="31" spans="1:68" ht="16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64" t="s">
        <v>145</v>
      </c>
      <c r="W31" s="65" t="s">
        <v>129</v>
      </c>
      <c r="X31" s="65">
        <v>60</v>
      </c>
      <c r="Y31" s="65">
        <v>192</v>
      </c>
      <c r="Z31" s="70">
        <v>15</v>
      </c>
      <c r="AA31" s="70">
        <v>60</v>
      </c>
      <c r="AB31" s="65">
        <v>120</v>
      </c>
      <c r="AC31" s="70">
        <v>4</v>
      </c>
      <c r="AD31" s="70">
        <v>4</v>
      </c>
      <c r="AE31" s="70">
        <v>17</v>
      </c>
      <c r="AF31" s="70">
        <f>AE31-AD31</f>
        <v>13</v>
      </c>
      <c r="AG31" s="70">
        <v>1.5</v>
      </c>
      <c r="AH31" s="74">
        <v>2</v>
      </c>
      <c r="AI31" s="70">
        <v>25</v>
      </c>
      <c r="AJ31" s="65">
        <v>20</v>
      </c>
      <c r="AK31" s="65">
        <v>10</v>
      </c>
      <c r="AL31" s="65">
        <v>17.5</v>
      </c>
      <c r="AM31" s="65" t="s">
        <v>131</v>
      </c>
      <c r="AN31" s="65" t="s">
        <v>132</v>
      </c>
      <c r="AO31" s="71" t="s">
        <v>133</v>
      </c>
      <c r="AP31" s="56"/>
      <c r="AQ31" s="91" t="s">
        <v>142</v>
      </c>
      <c r="AR31" s="65" t="s">
        <v>129</v>
      </c>
      <c r="AS31" s="65">
        <v>96</v>
      </c>
      <c r="AT31" s="65">
        <v>228</v>
      </c>
      <c r="AU31" s="70">
        <v>15</v>
      </c>
      <c r="AV31" s="70">
        <v>241</v>
      </c>
      <c r="AW31" s="70">
        <v>300</v>
      </c>
      <c r="AX31" s="77">
        <v>19</v>
      </c>
      <c r="AY31" s="77">
        <v>19</v>
      </c>
      <c r="AZ31" s="77">
        <v>18</v>
      </c>
      <c r="BA31" s="77">
        <f t="shared" si="5"/>
        <v>-1</v>
      </c>
      <c r="BB31" s="70">
        <v>2</v>
      </c>
      <c r="BC31" s="70">
        <v>40</v>
      </c>
      <c r="BD31" s="74">
        <v>4</v>
      </c>
      <c r="BE31" s="65">
        <v>36</v>
      </c>
      <c r="BF31" s="75">
        <v>18</v>
      </c>
      <c r="BG31" s="65">
        <v>17.5</v>
      </c>
      <c r="BH31" s="65" t="s">
        <v>131</v>
      </c>
      <c r="BI31" s="65" t="s">
        <v>132</v>
      </c>
      <c r="BJ31" s="71" t="s">
        <v>133</v>
      </c>
      <c r="BK31" s="50"/>
      <c r="BL31" s="50"/>
      <c r="BM31" s="50"/>
      <c r="BN31" s="50"/>
      <c r="BO31" s="50"/>
      <c r="BP31" s="50"/>
    </row>
    <row r="32" spans="1:68" ht="16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64" t="s">
        <v>145</v>
      </c>
      <c r="W32" s="65" t="s">
        <v>129</v>
      </c>
      <c r="X32" s="65">
        <v>60</v>
      </c>
      <c r="Y32" s="65">
        <v>192</v>
      </c>
      <c r="Z32" s="70">
        <v>14</v>
      </c>
      <c r="AA32" s="70">
        <v>121</v>
      </c>
      <c r="AB32" s="65">
        <v>180</v>
      </c>
      <c r="AC32" s="70">
        <v>5</v>
      </c>
      <c r="AD32" s="70">
        <v>5</v>
      </c>
      <c r="AE32" s="70">
        <v>17</v>
      </c>
      <c r="AF32" s="70">
        <f t="shared" ref="AF32:AF40" si="6">AE32-AD32</f>
        <v>12</v>
      </c>
      <c r="AG32" s="70">
        <v>1.5</v>
      </c>
      <c r="AH32" s="74">
        <v>3</v>
      </c>
      <c r="AI32" s="70">
        <v>30</v>
      </c>
      <c r="AJ32" s="65">
        <v>25</v>
      </c>
      <c r="AK32" s="75">
        <v>12</v>
      </c>
      <c r="AL32" s="65">
        <v>17.5</v>
      </c>
      <c r="AM32" s="65" t="s">
        <v>131</v>
      </c>
      <c r="AN32" s="65" t="s">
        <v>132</v>
      </c>
      <c r="AO32" s="71" t="s">
        <v>133</v>
      </c>
      <c r="AP32" s="56"/>
      <c r="AQ32" s="91" t="s">
        <v>142</v>
      </c>
      <c r="AR32" s="65" t="s">
        <v>129</v>
      </c>
      <c r="AS32" s="65">
        <v>96</v>
      </c>
      <c r="AT32" s="65">
        <v>228</v>
      </c>
      <c r="AU32" s="70">
        <v>14</v>
      </c>
      <c r="AV32" s="70">
        <v>241</v>
      </c>
      <c r="AW32" s="70">
        <v>300</v>
      </c>
      <c r="AX32" s="77">
        <v>20</v>
      </c>
      <c r="AY32" s="77">
        <v>20</v>
      </c>
      <c r="AZ32" s="77">
        <v>18</v>
      </c>
      <c r="BA32" s="77">
        <f t="shared" si="5"/>
        <v>-2</v>
      </c>
      <c r="BB32" s="70">
        <v>2</v>
      </c>
      <c r="BC32" s="70">
        <v>40</v>
      </c>
      <c r="BD32" s="74">
        <v>4</v>
      </c>
      <c r="BE32" s="65">
        <v>36</v>
      </c>
      <c r="BF32" s="75">
        <v>18</v>
      </c>
      <c r="BG32" s="65">
        <v>17.5</v>
      </c>
      <c r="BH32" s="65" t="s">
        <v>131</v>
      </c>
      <c r="BI32" s="65" t="s">
        <v>132</v>
      </c>
      <c r="BJ32" s="71" t="s">
        <v>133</v>
      </c>
      <c r="BK32" s="50"/>
      <c r="BL32" s="50"/>
      <c r="BM32" s="50"/>
      <c r="BN32" s="50"/>
      <c r="BO32" s="50"/>
      <c r="BP32" s="50"/>
    </row>
    <row r="33" spans="1:68" ht="16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64" t="s">
        <v>145</v>
      </c>
      <c r="W33" s="65" t="s">
        <v>129</v>
      </c>
      <c r="X33" s="65">
        <v>60</v>
      </c>
      <c r="Y33" s="65">
        <v>192</v>
      </c>
      <c r="Z33" s="70">
        <v>13</v>
      </c>
      <c r="AA33" s="70">
        <v>181</v>
      </c>
      <c r="AB33" s="65">
        <v>240</v>
      </c>
      <c r="AC33" s="70">
        <v>6</v>
      </c>
      <c r="AD33" s="70">
        <v>6</v>
      </c>
      <c r="AE33" s="70">
        <v>17</v>
      </c>
      <c r="AF33" s="70">
        <f t="shared" si="6"/>
        <v>11</v>
      </c>
      <c r="AG33" s="70">
        <v>2</v>
      </c>
      <c r="AH33" s="74">
        <v>3</v>
      </c>
      <c r="AI33" s="70">
        <v>40</v>
      </c>
      <c r="AJ33" s="65">
        <v>30</v>
      </c>
      <c r="AK33" s="75">
        <v>15</v>
      </c>
      <c r="AL33" s="65">
        <v>17.5</v>
      </c>
      <c r="AM33" s="65" t="s">
        <v>131</v>
      </c>
      <c r="AN33" s="65" t="s">
        <v>132</v>
      </c>
      <c r="AO33" s="71" t="s">
        <v>133</v>
      </c>
      <c r="AP33" s="56"/>
      <c r="AQ33" s="91" t="s">
        <v>142</v>
      </c>
      <c r="AR33" s="65" t="s">
        <v>129</v>
      </c>
      <c r="AS33" s="65">
        <v>96</v>
      </c>
      <c r="AT33" s="65">
        <v>228</v>
      </c>
      <c r="AU33" s="70">
        <v>13</v>
      </c>
      <c r="AV33" s="70">
        <v>241</v>
      </c>
      <c r="AW33" s="70">
        <v>300</v>
      </c>
      <c r="AX33" s="77">
        <v>21</v>
      </c>
      <c r="AY33" s="77">
        <v>21</v>
      </c>
      <c r="AZ33" s="77">
        <v>18</v>
      </c>
      <c r="BA33" s="77">
        <f t="shared" si="5"/>
        <v>-3</v>
      </c>
      <c r="BB33" s="70">
        <v>2</v>
      </c>
      <c r="BC33" s="70">
        <v>40</v>
      </c>
      <c r="BD33" s="74">
        <v>4</v>
      </c>
      <c r="BE33" s="65">
        <v>36</v>
      </c>
      <c r="BF33" s="75">
        <v>18</v>
      </c>
      <c r="BG33" s="65">
        <v>17.5</v>
      </c>
      <c r="BH33" s="65" t="s">
        <v>131</v>
      </c>
      <c r="BI33" s="65" t="s">
        <v>132</v>
      </c>
      <c r="BJ33" s="71" t="s">
        <v>133</v>
      </c>
      <c r="BK33" s="50"/>
      <c r="BL33" s="50"/>
      <c r="BM33" s="50"/>
      <c r="BN33" s="50"/>
      <c r="BO33" s="50"/>
      <c r="BP33" s="50"/>
    </row>
    <row r="34" spans="1:68" ht="16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64" t="s">
        <v>145</v>
      </c>
      <c r="W34" s="65" t="s">
        <v>129</v>
      </c>
      <c r="X34" s="65">
        <v>60</v>
      </c>
      <c r="Y34" s="65">
        <v>192</v>
      </c>
      <c r="Z34" s="70">
        <v>12</v>
      </c>
      <c r="AA34" s="70">
        <v>241</v>
      </c>
      <c r="AB34" s="65">
        <v>300</v>
      </c>
      <c r="AC34" s="70">
        <v>7</v>
      </c>
      <c r="AD34" s="70">
        <v>7</v>
      </c>
      <c r="AE34" s="70">
        <v>17</v>
      </c>
      <c r="AF34" s="70">
        <f t="shared" si="6"/>
        <v>10</v>
      </c>
      <c r="AG34" s="70">
        <v>2</v>
      </c>
      <c r="AH34" s="74">
        <v>3</v>
      </c>
      <c r="AI34" s="70">
        <v>40</v>
      </c>
      <c r="AJ34" s="65">
        <v>30</v>
      </c>
      <c r="AK34" s="75">
        <v>15</v>
      </c>
      <c r="AL34" s="65">
        <v>17.5</v>
      </c>
      <c r="AM34" s="65" t="s">
        <v>131</v>
      </c>
      <c r="AN34" s="65" t="s">
        <v>132</v>
      </c>
      <c r="AO34" s="71" t="s">
        <v>133</v>
      </c>
      <c r="AP34" s="56"/>
      <c r="AQ34" s="91" t="s">
        <v>142</v>
      </c>
      <c r="AR34" s="65" t="s">
        <v>129</v>
      </c>
      <c r="AS34" s="65">
        <v>96</v>
      </c>
      <c r="AT34" s="65">
        <v>228</v>
      </c>
      <c r="AU34" s="70">
        <v>12</v>
      </c>
      <c r="AV34" s="70">
        <v>241</v>
      </c>
      <c r="AW34" s="70">
        <v>300</v>
      </c>
      <c r="AX34" s="77">
        <v>22</v>
      </c>
      <c r="AY34" s="77">
        <v>22</v>
      </c>
      <c r="AZ34" s="77">
        <v>18</v>
      </c>
      <c r="BA34" s="77">
        <f t="shared" si="5"/>
        <v>-4</v>
      </c>
      <c r="BB34" s="70">
        <v>2</v>
      </c>
      <c r="BC34" s="70">
        <v>40</v>
      </c>
      <c r="BD34" s="74">
        <v>4</v>
      </c>
      <c r="BE34" s="65">
        <v>36</v>
      </c>
      <c r="BF34" s="75">
        <v>18</v>
      </c>
      <c r="BG34" s="65">
        <v>17.5</v>
      </c>
      <c r="BH34" s="65" t="s">
        <v>131</v>
      </c>
      <c r="BI34" s="65" t="s">
        <v>132</v>
      </c>
      <c r="BJ34" s="71" t="s">
        <v>133</v>
      </c>
      <c r="BK34" s="50"/>
      <c r="BL34" s="50"/>
      <c r="BM34" s="50"/>
      <c r="BN34" s="50"/>
      <c r="BO34" s="50"/>
      <c r="BP34" s="50"/>
    </row>
    <row r="35" spans="1:68" ht="16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64" t="s">
        <v>145</v>
      </c>
      <c r="W35" s="65" t="s">
        <v>129</v>
      </c>
      <c r="X35" s="65">
        <v>60</v>
      </c>
      <c r="Y35" s="65">
        <v>192</v>
      </c>
      <c r="Z35" s="70">
        <v>11</v>
      </c>
      <c r="AA35" s="70">
        <v>241</v>
      </c>
      <c r="AB35" s="65">
        <v>300</v>
      </c>
      <c r="AC35" s="70">
        <v>8</v>
      </c>
      <c r="AD35" s="70">
        <v>8</v>
      </c>
      <c r="AE35" s="70">
        <v>17</v>
      </c>
      <c r="AF35" s="70">
        <f t="shared" si="6"/>
        <v>9</v>
      </c>
      <c r="AG35" s="70">
        <v>2</v>
      </c>
      <c r="AH35" s="74">
        <v>3</v>
      </c>
      <c r="AI35" s="70">
        <v>40</v>
      </c>
      <c r="AJ35" s="65">
        <v>30</v>
      </c>
      <c r="AK35" s="75">
        <v>15</v>
      </c>
      <c r="AL35" s="65">
        <v>17.5</v>
      </c>
      <c r="AM35" s="65" t="s">
        <v>131</v>
      </c>
      <c r="AN35" s="65" t="s">
        <v>132</v>
      </c>
      <c r="AO35" s="71" t="s">
        <v>133</v>
      </c>
      <c r="AP35" s="56"/>
      <c r="AQ35" s="91" t="s">
        <v>142</v>
      </c>
      <c r="AR35" s="65" t="s">
        <v>129</v>
      </c>
      <c r="AS35" s="65">
        <v>96</v>
      </c>
      <c r="AT35" s="65">
        <v>228</v>
      </c>
      <c r="AU35" s="70">
        <v>11</v>
      </c>
      <c r="AV35" s="70">
        <v>241</v>
      </c>
      <c r="AW35" s="70">
        <v>300</v>
      </c>
      <c r="AX35" s="77">
        <v>23</v>
      </c>
      <c r="AY35" s="77">
        <v>23</v>
      </c>
      <c r="AZ35" s="77">
        <v>18</v>
      </c>
      <c r="BA35" s="77">
        <f t="shared" si="5"/>
        <v>-5</v>
      </c>
      <c r="BB35" s="70">
        <v>2</v>
      </c>
      <c r="BC35" s="70">
        <v>40</v>
      </c>
      <c r="BD35" s="74">
        <v>4</v>
      </c>
      <c r="BE35" s="65">
        <v>36</v>
      </c>
      <c r="BF35" s="75">
        <v>18</v>
      </c>
      <c r="BG35" s="65">
        <v>17.5</v>
      </c>
      <c r="BH35" s="65" t="s">
        <v>131</v>
      </c>
      <c r="BI35" s="65" t="s">
        <v>132</v>
      </c>
      <c r="BJ35" s="71" t="s">
        <v>133</v>
      </c>
      <c r="BK35" s="50"/>
      <c r="BL35" s="50"/>
      <c r="BM35" s="50"/>
      <c r="BN35" s="50"/>
      <c r="BO35" s="50"/>
      <c r="BP35" s="50"/>
    </row>
    <row r="36" spans="1:68" ht="165.75" thickBot="1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64" t="s">
        <v>145</v>
      </c>
      <c r="W36" s="65" t="s">
        <v>129</v>
      </c>
      <c r="X36" s="65">
        <v>60</v>
      </c>
      <c r="Y36" s="65">
        <v>192</v>
      </c>
      <c r="Z36" s="70">
        <v>10</v>
      </c>
      <c r="AA36" s="70">
        <v>241</v>
      </c>
      <c r="AB36" s="65">
        <v>300</v>
      </c>
      <c r="AC36" s="70">
        <v>9</v>
      </c>
      <c r="AD36" s="70">
        <v>9</v>
      </c>
      <c r="AE36" s="70">
        <v>17</v>
      </c>
      <c r="AF36" s="70">
        <f t="shared" si="6"/>
        <v>8</v>
      </c>
      <c r="AG36" s="70">
        <v>2</v>
      </c>
      <c r="AH36" s="74">
        <v>3</v>
      </c>
      <c r="AI36" s="70">
        <v>40</v>
      </c>
      <c r="AJ36" s="65">
        <v>30</v>
      </c>
      <c r="AK36" s="75">
        <v>15</v>
      </c>
      <c r="AL36" s="65">
        <v>17.5</v>
      </c>
      <c r="AM36" s="65" t="s">
        <v>131</v>
      </c>
      <c r="AN36" s="65" t="s">
        <v>132</v>
      </c>
      <c r="AO36" s="71" t="s">
        <v>133</v>
      </c>
      <c r="AP36" s="56"/>
      <c r="AQ36" s="96" t="s">
        <v>142</v>
      </c>
      <c r="AR36" s="80" t="s">
        <v>129</v>
      </c>
      <c r="AS36" s="80">
        <v>96</v>
      </c>
      <c r="AT36" s="80">
        <v>228</v>
      </c>
      <c r="AU36" s="81">
        <v>10</v>
      </c>
      <c r="AV36" s="81">
        <v>241</v>
      </c>
      <c r="AW36" s="81">
        <v>300</v>
      </c>
      <c r="AX36" s="77">
        <v>24</v>
      </c>
      <c r="AY36" s="77">
        <v>24</v>
      </c>
      <c r="AZ36" s="85">
        <v>18</v>
      </c>
      <c r="BA36" s="85"/>
      <c r="BB36" s="81">
        <v>2</v>
      </c>
      <c r="BC36" s="81">
        <v>40</v>
      </c>
      <c r="BD36" s="87">
        <v>4</v>
      </c>
      <c r="BE36" s="80">
        <v>36</v>
      </c>
      <c r="BF36" s="88">
        <v>18</v>
      </c>
      <c r="BG36" s="80">
        <v>17.5</v>
      </c>
      <c r="BH36" s="80" t="s">
        <v>131</v>
      </c>
      <c r="BI36" s="80" t="s">
        <v>132</v>
      </c>
      <c r="BJ36" s="82" t="s">
        <v>133</v>
      </c>
      <c r="BK36" s="50"/>
      <c r="BL36" s="50"/>
      <c r="BM36" s="50"/>
      <c r="BN36" s="50"/>
      <c r="BO36" s="50"/>
      <c r="BP36" s="50"/>
    </row>
    <row r="37" spans="1:68" ht="16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64" t="s">
        <v>145</v>
      </c>
      <c r="W37" s="65" t="s">
        <v>129</v>
      </c>
      <c r="X37" s="65">
        <v>60</v>
      </c>
      <c r="Y37" s="65">
        <v>192</v>
      </c>
      <c r="Z37" s="70">
        <v>9</v>
      </c>
      <c r="AA37" s="70">
        <v>241</v>
      </c>
      <c r="AB37" s="65">
        <v>300</v>
      </c>
      <c r="AC37" s="70">
        <v>10</v>
      </c>
      <c r="AD37" s="70">
        <v>10</v>
      </c>
      <c r="AE37" s="70">
        <v>17</v>
      </c>
      <c r="AF37" s="70">
        <f t="shared" si="6"/>
        <v>7</v>
      </c>
      <c r="AG37" s="70">
        <v>2</v>
      </c>
      <c r="AH37" s="74">
        <v>3</v>
      </c>
      <c r="AI37" s="70">
        <v>40</v>
      </c>
      <c r="AJ37" s="65">
        <v>30</v>
      </c>
      <c r="AK37" s="75">
        <v>15</v>
      </c>
      <c r="AL37" s="65">
        <v>17.5</v>
      </c>
      <c r="AM37" s="65" t="s">
        <v>131</v>
      </c>
      <c r="AN37" s="65" t="s">
        <v>132</v>
      </c>
      <c r="AO37" s="71" t="s">
        <v>133</v>
      </c>
      <c r="AP37" s="56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</row>
    <row r="38" spans="1:68" ht="16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64" t="s">
        <v>145</v>
      </c>
      <c r="W38" s="65" t="s">
        <v>129</v>
      </c>
      <c r="X38" s="65">
        <v>60</v>
      </c>
      <c r="Y38" s="65">
        <v>192</v>
      </c>
      <c r="Z38" s="70">
        <v>8</v>
      </c>
      <c r="AA38" s="70">
        <v>241</v>
      </c>
      <c r="AB38" s="65">
        <v>300</v>
      </c>
      <c r="AC38" s="70">
        <v>11</v>
      </c>
      <c r="AD38" s="70">
        <v>11</v>
      </c>
      <c r="AE38" s="70">
        <v>17</v>
      </c>
      <c r="AF38" s="70">
        <f t="shared" si="6"/>
        <v>6</v>
      </c>
      <c r="AG38" s="70">
        <v>2</v>
      </c>
      <c r="AH38" s="74">
        <v>3</v>
      </c>
      <c r="AI38" s="70">
        <v>40</v>
      </c>
      <c r="AJ38" s="65">
        <v>30</v>
      </c>
      <c r="AK38" s="75">
        <v>15</v>
      </c>
      <c r="AL38" s="65">
        <v>17.5</v>
      </c>
      <c r="AM38" s="65" t="s">
        <v>131</v>
      </c>
      <c r="AN38" s="65" t="s">
        <v>132</v>
      </c>
      <c r="AO38" s="71" t="s">
        <v>133</v>
      </c>
      <c r="AP38" s="56"/>
      <c r="AQ38" s="56"/>
      <c r="AR38" s="56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</row>
    <row r="39" spans="1:68" ht="16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64" t="s">
        <v>145</v>
      </c>
      <c r="W39" s="65" t="s">
        <v>129</v>
      </c>
      <c r="X39" s="65">
        <v>60</v>
      </c>
      <c r="Y39" s="65">
        <v>192</v>
      </c>
      <c r="Z39" s="70">
        <v>7</v>
      </c>
      <c r="AA39" s="70">
        <v>241</v>
      </c>
      <c r="AB39" s="65">
        <v>300</v>
      </c>
      <c r="AC39" s="70">
        <v>12</v>
      </c>
      <c r="AD39" s="70">
        <v>12</v>
      </c>
      <c r="AE39" s="70">
        <v>17</v>
      </c>
      <c r="AF39" s="70">
        <f t="shared" si="6"/>
        <v>5</v>
      </c>
      <c r="AG39" s="70">
        <v>2</v>
      </c>
      <c r="AH39" s="74">
        <v>3</v>
      </c>
      <c r="AI39" s="70">
        <v>40</v>
      </c>
      <c r="AJ39" s="65">
        <v>30</v>
      </c>
      <c r="AK39" s="75">
        <v>15</v>
      </c>
      <c r="AL39" s="65">
        <v>17.5</v>
      </c>
      <c r="AM39" s="65" t="s">
        <v>131</v>
      </c>
      <c r="AN39" s="65" t="s">
        <v>132</v>
      </c>
      <c r="AO39" s="71" t="s">
        <v>133</v>
      </c>
      <c r="AP39" s="56"/>
      <c r="AQ39" s="56"/>
      <c r="AR39" s="56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</row>
    <row r="40" spans="1:68" ht="165.75" thickBot="1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79" t="s">
        <v>145</v>
      </c>
      <c r="W40" s="80" t="s">
        <v>129</v>
      </c>
      <c r="X40" s="80">
        <v>60</v>
      </c>
      <c r="Y40" s="80">
        <v>192</v>
      </c>
      <c r="Z40" s="81">
        <v>6</v>
      </c>
      <c r="AA40" s="81">
        <v>241</v>
      </c>
      <c r="AB40" s="80">
        <v>300</v>
      </c>
      <c r="AC40" s="70">
        <v>13</v>
      </c>
      <c r="AD40" s="70">
        <v>13</v>
      </c>
      <c r="AE40" s="81">
        <v>17</v>
      </c>
      <c r="AF40" s="81">
        <f t="shared" si="6"/>
        <v>4</v>
      </c>
      <c r="AG40" s="81">
        <v>2</v>
      </c>
      <c r="AH40" s="87">
        <v>3</v>
      </c>
      <c r="AI40" s="81">
        <v>40</v>
      </c>
      <c r="AJ40" s="80">
        <v>30</v>
      </c>
      <c r="AK40" s="88">
        <v>15</v>
      </c>
      <c r="AL40" s="80">
        <v>17.5</v>
      </c>
      <c r="AM40" s="80" t="s">
        <v>131</v>
      </c>
      <c r="AN40" s="80" t="s">
        <v>132</v>
      </c>
      <c r="AO40" s="82" t="s">
        <v>133</v>
      </c>
      <c r="AP40" s="56"/>
      <c r="AQ40" s="56"/>
      <c r="AR40" s="56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</row>
    <row r="41" spans="1:68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6"/>
      <c r="Y41" s="56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6"/>
      <c r="AL41" s="56"/>
      <c r="AM41" s="56"/>
      <c r="AN41" s="56"/>
      <c r="AO41" s="56"/>
      <c r="AP41" s="56"/>
      <c r="AQ41" s="56"/>
      <c r="AR41" s="56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</row>
    <row r="42" spans="1:68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6"/>
      <c r="Y42" s="56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6"/>
      <c r="AL42" s="56"/>
      <c r="AM42" s="56"/>
      <c r="AN42" s="56"/>
      <c r="AO42" s="56"/>
      <c r="AP42" s="56"/>
      <c r="AQ42" s="56"/>
      <c r="AR42" s="56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5"/>
      <c r="BD42" s="55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</row>
  </sheetData>
  <mergeCells count="7">
    <mergeCell ref="V29:AO29"/>
    <mergeCell ref="A2:T2"/>
    <mergeCell ref="V2:AN2"/>
    <mergeCell ref="AQ2:BJ2"/>
    <mergeCell ref="A15:T15"/>
    <mergeCell ref="V15:AO15"/>
    <mergeCell ref="AQ20:BJ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Small</vt:lpstr>
      <vt:lpstr>Medium</vt:lpstr>
      <vt:lpstr>Large</vt:lpstr>
      <vt:lpstr>Form Resources</vt:lpstr>
      <vt:lpstr>Charts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</dc:creator>
  <cp:lastModifiedBy>pro</cp:lastModifiedBy>
  <dcterms:created xsi:type="dcterms:W3CDTF">2016-04-12T00:20:43Z</dcterms:created>
  <dcterms:modified xsi:type="dcterms:W3CDTF">2016-04-13T17:43:23Z</dcterms:modified>
</cp:coreProperties>
</file>