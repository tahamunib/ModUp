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\Documents\CurrentWork\"/>
    </mc:Choice>
  </mc:AlternateContent>
  <bookViews>
    <workbookView xWindow="0" yWindow="0" windowWidth="20490" windowHeight="7905" activeTab="5"/>
  </bookViews>
  <sheets>
    <sheet name="Small" sheetId="1" r:id="rId1"/>
    <sheet name="Medium" sheetId="2" r:id="rId2"/>
    <sheet name="Large" sheetId="3" r:id="rId3"/>
    <sheet name="Form Resources" sheetId="4" r:id="rId4"/>
    <sheet name="Charts" sheetId="5" r:id="rId5"/>
    <sheet name="Corrections" sheetId="6" r:id="rId6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12" i="6" l="1"/>
  <c r="AE21" i="6"/>
  <c r="AE20" i="6"/>
  <c r="AC10" i="6"/>
  <c r="AB4" i="6"/>
  <c r="K4" i="5"/>
  <c r="AG14" i="6"/>
  <c r="V14" i="6"/>
  <c r="AH13" i="6"/>
  <c r="AG13" i="6"/>
  <c r="AB13" i="6"/>
  <c r="V13" i="6"/>
  <c r="AJ12" i="6"/>
  <c r="AI12" i="6"/>
  <c r="AH12" i="6"/>
  <c r="AG12" i="6"/>
  <c r="AF12" i="6"/>
  <c r="AC12" i="6"/>
  <c r="AB12" i="6"/>
  <c r="V12" i="6"/>
  <c r="AJ11" i="6"/>
  <c r="AI11" i="6"/>
  <c r="AH11" i="6"/>
  <c r="AG11" i="6"/>
  <c r="AF11" i="6"/>
  <c r="AC11" i="6"/>
  <c r="AB11" i="6"/>
  <c r="V11" i="6"/>
  <c r="AJ10" i="6"/>
  <c r="AI10" i="6"/>
  <c r="AH10" i="6"/>
  <c r="AG10" i="6"/>
  <c r="AF10" i="6"/>
  <c r="AB10" i="6"/>
  <c r="V10" i="6"/>
  <c r="AH9" i="6"/>
  <c r="AG9" i="6"/>
  <c r="AF9" i="6"/>
  <c r="AB9" i="6"/>
  <c r="V9" i="6"/>
  <c r="V8" i="6"/>
  <c r="AG7" i="6"/>
  <c r="AF7" i="6"/>
  <c r="V7" i="6"/>
  <c r="AG6" i="6"/>
  <c r="AF6" i="6"/>
  <c r="V6" i="6"/>
  <c r="AG5" i="6"/>
  <c r="AF5" i="6"/>
  <c r="V5" i="6"/>
  <c r="AF4" i="6"/>
  <c r="V4" i="6"/>
  <c r="AP14" i="1"/>
  <c r="AH14" i="1"/>
  <c r="AI40" i="5"/>
  <c r="AI39" i="5"/>
  <c r="AI38" i="5"/>
  <c r="AI37" i="5"/>
  <c r="AI36" i="5"/>
  <c r="BG35" i="5"/>
  <c r="AI35" i="5"/>
  <c r="BG34" i="5"/>
  <c r="AI34" i="5"/>
  <c r="BG33" i="5"/>
  <c r="AI33" i="5"/>
  <c r="BG32" i="5"/>
  <c r="AI32" i="5"/>
  <c r="BG31" i="5"/>
  <c r="AI31" i="5"/>
  <c r="BG30" i="5"/>
  <c r="BG29" i="5"/>
  <c r="BG28" i="5"/>
  <c r="BG27" i="5"/>
  <c r="BG26" i="5"/>
  <c r="AI26" i="5"/>
  <c r="BG25" i="5"/>
  <c r="AI25" i="5"/>
  <c r="BG24" i="5"/>
  <c r="AI24" i="5"/>
  <c r="BG23" i="5"/>
  <c r="AI23" i="5"/>
  <c r="K23" i="5"/>
  <c r="BG22" i="5"/>
  <c r="AI22" i="5"/>
  <c r="K22" i="5"/>
  <c r="AI21" i="5"/>
  <c r="K21" i="5"/>
  <c r="AI20" i="5"/>
  <c r="K20" i="5"/>
  <c r="AI19" i="5"/>
  <c r="K19" i="5"/>
  <c r="BG18" i="5"/>
  <c r="AI18" i="5"/>
  <c r="K18" i="5"/>
  <c r="BG17" i="5"/>
  <c r="AI17" i="5"/>
  <c r="K17" i="5"/>
  <c r="BG16" i="5"/>
  <c r="BG15" i="5"/>
  <c r="BG14" i="5"/>
  <c r="BG13" i="5"/>
  <c r="AI13" i="5"/>
  <c r="BG12" i="5"/>
  <c r="AI12" i="5"/>
  <c r="BG11" i="5"/>
  <c r="AI11" i="5"/>
  <c r="BG10" i="5"/>
  <c r="AI10" i="5"/>
  <c r="K10" i="5"/>
  <c r="BG9" i="5"/>
  <c r="AI9" i="5"/>
  <c r="K9" i="5"/>
  <c r="BG8" i="5"/>
  <c r="AI8" i="5"/>
  <c r="K8" i="5"/>
  <c r="BG7" i="5"/>
  <c r="AI7" i="5"/>
  <c r="K7" i="5"/>
  <c r="BG6" i="5"/>
  <c r="AI6" i="5"/>
  <c r="K6" i="5"/>
  <c r="BG5" i="5"/>
  <c r="AI5" i="5"/>
  <c r="K5" i="5"/>
  <c r="BG4" i="5"/>
  <c r="AI4" i="5"/>
  <c r="AQ13" i="1"/>
  <c r="AP13" i="1"/>
  <c r="AM13" i="1"/>
  <c r="AH13" i="1"/>
  <c r="AS12" i="1"/>
  <c r="AR12" i="1"/>
  <c r="AQ12" i="1"/>
  <c r="AP12" i="1"/>
  <c r="AO12" i="1"/>
  <c r="AN12" i="1"/>
  <c r="AM12" i="1"/>
  <c r="AH12" i="1"/>
  <c r="AS11" i="1"/>
  <c r="AR11" i="1"/>
  <c r="AQ11" i="1"/>
  <c r="AP11" i="1"/>
  <c r="AO11" i="1"/>
  <c r="AN11" i="1"/>
  <c r="AM11" i="1"/>
  <c r="AH11" i="1"/>
  <c r="AS10" i="1"/>
  <c r="AR10" i="1"/>
  <c r="AQ10" i="1"/>
  <c r="AP10" i="1"/>
  <c r="AO10" i="1"/>
  <c r="AN10" i="1"/>
  <c r="AM10" i="1"/>
  <c r="AH10" i="1"/>
  <c r="AQ9" i="1"/>
  <c r="AP9" i="1"/>
  <c r="AO9" i="1"/>
  <c r="AM9" i="1"/>
  <c r="AH9" i="1"/>
  <c r="AH8" i="1"/>
  <c r="AP7" i="1"/>
  <c r="AO7" i="1"/>
  <c r="AH7" i="1"/>
  <c r="AP6" i="1"/>
  <c r="AO6" i="1"/>
  <c r="AH6" i="1"/>
  <c r="AP5" i="1"/>
  <c r="AO5" i="1"/>
  <c r="AH5" i="1"/>
  <c r="AM4" i="1"/>
  <c r="AH4" i="1"/>
  <c r="AO4" i="1"/>
</calcChain>
</file>

<file path=xl/sharedStrings.xml><?xml version="1.0" encoding="utf-8"?>
<sst xmlns="http://schemas.openxmlformats.org/spreadsheetml/2006/main" count="1157" uniqueCount="195">
  <si>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</si>
  <si>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</si>
  <si>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</si>
  <si>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</si>
  <si>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Hardware Projection:
3 1/2
5 1/2</t>
  </si>
  <si>
    <t xml:space="preserve">Combine fabrics
"Yes"
</t>
  </si>
  <si>
    <t xml:space="preserve">"A" 
Pattern </t>
  </si>
  <si>
    <t>"A"
Color</t>
  </si>
  <si>
    <t xml:space="preserve">
"B"
Pattern </t>
  </si>
  <si>
    <t xml:space="preserve">
"B"
Color</t>
  </si>
  <si>
    <t xml:space="preserve">"Yes"
Self
Pattern name
</t>
  </si>
  <si>
    <t xml:space="preserve">"Yes"
Lining Color
</t>
  </si>
  <si>
    <t>Apply Trim  
Yes
No</t>
  </si>
  <si>
    <t>"yes"
Trim- 
Pattern</t>
  </si>
  <si>
    <t>"yes"
Trim-  
Color</t>
  </si>
  <si>
    <t>Special Instruction</t>
  </si>
  <si>
    <t>Combonation #A3,#C3
Combonation
 Size
50%-50%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</si>
  <si>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</si>
  <si>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</si>
  <si>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</si>
  <si>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</si>
  <si>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</si>
  <si>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Fabric Price Group
Refer to Trims  specs</t>
  </si>
  <si>
    <t>single swags top width =
(chart condtions)
MA-(MFx2)/2</t>
  </si>
  <si>
    <t>Swags Dept =(chart condtions)</t>
  </si>
  <si>
    <t># Of Widths
=(chart condtions)</t>
  </si>
  <si>
    <t xml:space="preserve"> Swags Cascade Length 
=(chart conditons)</t>
  </si>
  <si>
    <t xml:space="preserve"> SwagTail Length
=(chart conditions)</t>
  </si>
  <si>
    <t>Combonation #A1
1 width (Self lined )
# of yds  "pattern A"
= (MA-(MG x2) x fullnes +(Swag cascades x2) +(swags take up + swag hem + swags pocket x 2) x number of width)/36x2</t>
  </si>
  <si>
    <t># of yrds Trim on swag
== (Meas A-MF*2) x fullnes +(Swag tail+Swag Takeup x2)*widths/36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</si>
  <si>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</si>
  <si>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</si>
  <si>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</si>
  <si>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</si>
  <si>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North</t>
  </si>
  <si>
    <t>Yes</t>
  </si>
  <si>
    <t>Anat</t>
  </si>
  <si>
    <t>Red</t>
  </si>
  <si>
    <t>Steve</t>
  </si>
  <si>
    <t>Green</t>
  </si>
  <si>
    <t>Self</t>
  </si>
  <si>
    <t>Coby</t>
  </si>
  <si>
    <t>None</t>
  </si>
  <si>
    <t>No</t>
  </si>
  <si>
    <t>Nova</t>
  </si>
  <si>
    <t>Blue</t>
  </si>
  <si>
    <t>Roman Leaf</t>
  </si>
  <si>
    <t>Over Swag</t>
  </si>
  <si>
    <t>Test</t>
  </si>
  <si>
    <t>White</t>
  </si>
  <si>
    <t>Test 1</t>
  </si>
  <si>
    <t>Off white</t>
  </si>
  <si>
    <t>Black</t>
  </si>
  <si>
    <t>Dining</t>
  </si>
  <si>
    <t>NA</t>
  </si>
  <si>
    <t>Living</t>
  </si>
  <si>
    <t>Customer Name:___</t>
  </si>
  <si>
    <t>Workroom Name: __</t>
  </si>
  <si>
    <t>Work order written date:__</t>
  </si>
  <si>
    <t>Order due date: ___</t>
  </si>
  <si>
    <t>Fab A -Top, Fab B - Bottom</t>
  </si>
  <si>
    <t>A-100% , B-100%</t>
  </si>
  <si>
    <t>Victorian</t>
  </si>
  <si>
    <t>Under Swag</t>
  </si>
  <si>
    <t>Fab B -Top, Fab A - Bottom</t>
  </si>
  <si>
    <t>South</t>
  </si>
  <si>
    <t>A-50% , B-50%</t>
  </si>
  <si>
    <t>Other</t>
  </si>
  <si>
    <t>French Shell</t>
  </si>
  <si>
    <t>East</t>
  </si>
  <si>
    <t>A-25% , B-75%</t>
  </si>
  <si>
    <t>Roman Shell</t>
  </si>
  <si>
    <t>West</t>
  </si>
  <si>
    <t>Gothic</t>
  </si>
  <si>
    <t>Rose Passion</t>
  </si>
  <si>
    <t>Taha</t>
  </si>
  <si>
    <t>Aba</t>
  </si>
  <si>
    <t>Taupe</t>
  </si>
  <si>
    <t>Burgundy</t>
  </si>
  <si>
    <t>Test1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</si>
  <si>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</si>
  <si>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</si>
  <si>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</si>
  <si>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</si>
  <si>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</si>
  <si>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</si>
  <si>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</si>
  <si>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</si>
  <si>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Liv</t>
  </si>
  <si>
    <r>
      <rPr>
        <b/>
        <sz val="10"/>
        <color rgb="FFFF0000"/>
        <rFont val="Arial"/>
      </rPr>
      <t xml:space="preserve"> "Small"</t>
    </r>
    <r>
      <rPr>
        <b/>
        <sz val="10"/>
        <color rgb="FF000000"/>
        <rFont val="Arial"/>
      </rPr>
      <t xml:space="preserve"> roman leaf crown 5 piece combo</t>
    </r>
  </si>
  <si>
    <r>
      <rPr>
        <b/>
        <sz val="10"/>
        <color rgb="FFFF0000"/>
        <rFont val="Arial"/>
      </rPr>
      <t xml:space="preserve">"Medium" </t>
    </r>
    <r>
      <rPr>
        <b/>
        <sz val="10"/>
        <color rgb="FF000000"/>
        <rFont val="Arial"/>
      </rPr>
      <t>French shell crown 5 piece combo</t>
    </r>
  </si>
  <si>
    <r>
      <rPr>
        <b/>
        <sz val="10"/>
        <color rgb="FFFF0000"/>
        <rFont val="Arial"/>
      </rPr>
      <t xml:space="preserve">"Large" </t>
    </r>
    <r>
      <rPr>
        <b/>
        <sz val="10"/>
        <color rgb="FF000000"/>
        <rFont val="Arial"/>
      </rPr>
      <t>Nova Crown 5 piece combo</t>
    </r>
  </si>
  <si>
    <t>Combo type</t>
  </si>
  <si>
    <t>Swag Type</t>
  </si>
  <si>
    <t xml:space="preserve">"A Minimum"
Horizontal size of window frame </t>
  </si>
  <si>
    <t>"A Maximum"
Horizontal size of window frame</t>
  </si>
  <si>
    <t xml:space="preserve">"B"
Space above the window </t>
  </si>
  <si>
    <t>"C" 
Minimum Space from floor to the top of the window frame</t>
  </si>
  <si>
    <t>"C" Maximum 
Space from floor to the top of the window frame</t>
  </si>
  <si>
    <t xml:space="preserve">"D"
Space need it on Left side of the windows
</t>
  </si>
  <si>
    <t>"E"
Space need it on right side of the windows</t>
  </si>
  <si>
    <t>"F"
Swag Cut out measurments</t>
  </si>
  <si>
    <t>"G"
Scroll angle measurment</t>
  </si>
  <si>
    <t>Fullness Factor</t>
  </si>
  <si>
    <t>"Swag Depth"</t>
  </si>
  <si>
    <t># Of fabric widths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</si>
  <si>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</si>
  <si>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</si>
  <si>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</si>
  <si>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</si>
  <si>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</si>
  <si>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>Hardware Color</t>
  </si>
  <si>
    <t>Combo Type</t>
  </si>
  <si>
    <t>"B"
Space above the window frame</t>
  </si>
  <si>
    <t xml:space="preserve">"D"
Space on the Left side of the window frame
</t>
  </si>
  <si>
    <t>"E"
Space on right side of the window frame</t>
  </si>
  <si>
    <t>Fullness Multiplier</t>
  </si>
  <si>
    <t xml:space="preserve">Scroll Swag Cascades Length
(left or right) </t>
  </si>
  <si>
    <t>Roman leaf  crown combo</t>
  </si>
  <si>
    <t>Over swag
Under swag</t>
  </si>
  <si>
    <t>25"</t>
  </si>
  <si>
    <t>PGA= 25
PGB=30
PGC=35
PGD=40</t>
  </si>
  <si>
    <t>PGA= 10
PGB=15
PGC=20
PGD=30</t>
  </si>
  <si>
    <t>AG=Antiqu gold
AS=Antique Silver
RG=Radiant Gold
PS=Platinum Silver                 
OB=Old black</t>
  </si>
  <si>
    <t xml:space="preserve">French shell crown combo
</t>
  </si>
  <si>
    <t>Nova crown combo</t>
  </si>
  <si>
    <r>
      <rPr>
        <b/>
        <sz val="10"/>
        <color rgb="FFFF0000"/>
        <rFont val="Arial"/>
      </rPr>
      <t xml:space="preserve">"Small " </t>
    </r>
    <r>
      <rPr>
        <b/>
        <sz val="10"/>
        <color rgb="FF000000"/>
        <rFont val="Arial"/>
      </rPr>
      <t>Victorian crown 5 piece combo</t>
    </r>
  </si>
  <si>
    <r>
      <rPr>
        <b/>
        <sz val="10"/>
        <color rgb="FFFF0000"/>
        <rFont val="Arial"/>
      </rPr>
      <t>"Medium"</t>
    </r>
    <r>
      <rPr>
        <b/>
        <sz val="10"/>
        <color rgb="FF000000"/>
        <rFont val="Arial"/>
      </rPr>
      <t xml:space="preserve"> Roma shell crown 5 piece combo</t>
    </r>
  </si>
  <si>
    <t>Victorian crown combo</t>
  </si>
  <si>
    <t xml:space="preserve">Roman shell crown combo
</t>
  </si>
  <si>
    <r>
      <rPr>
        <b/>
        <sz val="10"/>
        <color rgb="FFFF0000"/>
        <rFont val="Arial"/>
      </rPr>
      <t xml:space="preserve">"Large" </t>
    </r>
    <r>
      <rPr>
        <b/>
        <sz val="10"/>
        <rFont val="Arial"/>
      </rPr>
      <t xml:space="preserve">Rose passion </t>
    </r>
    <r>
      <rPr>
        <b/>
        <sz val="10"/>
        <color rgb="FF000000"/>
        <rFont val="Arial"/>
      </rPr>
      <t>crown 5 piece combo</t>
    </r>
  </si>
  <si>
    <t>Swag type</t>
  </si>
  <si>
    <t>Rose passion crown combo</t>
  </si>
  <si>
    <r>
      <rPr>
        <b/>
        <sz val="10"/>
        <color rgb="FFFF0000"/>
        <rFont val="Arial"/>
      </rPr>
      <t>"Medium"</t>
    </r>
    <r>
      <rPr>
        <b/>
        <sz val="10"/>
        <color rgb="FF000000"/>
        <rFont val="Arial"/>
      </rPr>
      <t xml:space="preserve"> Gothic crown 5 piece combo</t>
    </r>
  </si>
  <si>
    <t>Swag Cut out measurments</t>
  </si>
  <si>
    <t>Gothic crown Combo</t>
  </si>
  <si>
    <t>Master</t>
  </si>
  <si>
    <t>dble</t>
  </si>
  <si>
    <t>dg</t>
  </si>
  <si>
    <t xml:space="preserve">Room Name
</t>
  </si>
  <si>
    <t xml:space="preserve">Window location
</t>
  </si>
  <si>
    <t xml:space="preserve">"A" Horizonatal size of the window 
</t>
  </si>
  <si>
    <t xml:space="preserve">"F"
Swag Cut out measurment
</t>
  </si>
  <si>
    <t xml:space="preserve">"G"
Scroll angle measurment
</t>
  </si>
  <si>
    <t xml:space="preserve">Combo Type:
</t>
  </si>
  <si>
    <t xml:space="preserve">Swag Type
</t>
  </si>
  <si>
    <t>Combined swag position</t>
  </si>
  <si>
    <t>Apply lining?</t>
  </si>
  <si>
    <t>Combine fabrics</t>
  </si>
  <si>
    <t xml:space="preserve">Lining 
Pattern 
</t>
  </si>
  <si>
    <t xml:space="preserve">
Lining Color
</t>
  </si>
  <si>
    <t xml:space="preserve">
Combonation
 Size
50%-50%</t>
  </si>
  <si>
    <t>Trim Price Group
Refer to Trims  specs</t>
  </si>
  <si>
    <t xml:space="preserve">single swags top width </t>
  </si>
  <si>
    <t xml:space="preserve">Swags Dept </t>
  </si>
  <si>
    <t># Of Widths</t>
  </si>
  <si>
    <t xml:space="preserve"> SwagTail Length</t>
  </si>
  <si>
    <t xml:space="preserve"> Swags Cascade Length </t>
  </si>
  <si>
    <t>Combined Fabric position</t>
  </si>
  <si>
    <t>Combonation #A2
1 width "Other lining"
(100%-100% Combo. of A and B)
# of yds "pattern A"
= (MA-MGx2) x fullnes +(Swags cascades x2)+(Swags tails*4)+ (swags take up + swags hem x 2)x (number of width)/36
# of yds "pattern B"
= (MA-MGx2) x fullnes +(Swag cascades x2)+(swags tails x4)+ (swags take up + swag hem + swags pocket x 2)x number of width/36</t>
  </si>
  <si>
    <t>Formula</t>
  </si>
  <si>
    <t>Combonation #A3
1 width Top - Bottom 
(50-50% Combo. of A and B)
# of yds "pattern A"
= (MA-MG x2)x fullnes +(Swag cascades x2)+(Swag tails x2)+ (swags take up +  swags pocket x 2)x number of width/36
# of yds "pattern B"
= (MA-MG)x fullnes +(Swags cascades x2) +(swags tails)+(swags take up + swags hem + swags pockets x 2)x number of width/36</t>
  </si>
  <si>
    <t xml:space="preserve">Example: </t>
  </si>
  <si>
    <t xml:space="preserve">MA = Horizontal size of window frame </t>
  </si>
  <si>
    <t>MB=Space above the window frame</t>
  </si>
  <si>
    <t>MC=Space from floor to the top of the window frame</t>
  </si>
  <si>
    <t>MD=Space on the Left side of the window frame</t>
  </si>
  <si>
    <t>ME=Space on the right side of the window frame</t>
  </si>
  <si>
    <t>MF=Swag Cut out measurments</t>
  </si>
  <si>
    <t>MG=Scroll angel measurment</t>
  </si>
  <si>
    <t>Fullness=</t>
  </si>
  <si>
    <t xml:space="preserve">Swag dept= </t>
  </si>
  <si>
    <t>Cascade length</t>
  </si>
  <si>
    <t>Swags tail</t>
  </si>
  <si>
    <t>Swag hem</t>
  </si>
  <si>
    <t>swag take up</t>
  </si>
  <si>
    <t># of widths</t>
  </si>
  <si>
    <t>Pattern A</t>
  </si>
  <si>
    <t>Patten B</t>
  </si>
  <si>
    <t>French</t>
  </si>
  <si>
    <t>"Swags hem  size"</t>
  </si>
  <si>
    <t>"Swags Pocke size"</t>
  </si>
  <si>
    <t>"Swags take up"</t>
  </si>
  <si>
    <t>AG-WC</t>
  </si>
  <si>
    <t>AG- WOC</t>
  </si>
  <si>
    <t>AS</t>
  </si>
  <si>
    <t>ASWC</t>
  </si>
  <si>
    <t xml:space="preserve">RG </t>
  </si>
  <si>
    <t>RGWC</t>
  </si>
  <si>
    <t>PS</t>
  </si>
  <si>
    <t>PSWC</t>
  </si>
  <si>
    <t>Workroom Name:</t>
  </si>
  <si>
    <t xml:space="preserve">Order due date: </t>
  </si>
  <si>
    <t>Customer Name:</t>
  </si>
  <si>
    <t>Work order written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</si>
</sst>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Arial"/>
    </font>
    <font>
      <sz val="8"/>
      <color rgb="FF000000"/>
      <name val="Arial"/>
    </font>
    <font>
      <sz val="8"/>
      <color rgb="FFFF0000"/>
      <name val="Arial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8"/>
      <name val="Calibri (Body)"/>
    </font>
    <font>
      <sz val="6"/>
      <color rgb="FF000000"/>
      <name val="Arial"/>
    </font>
    <font>
      <b/>
      <sz val="6"/>
      <color rgb="FF000000"/>
      <name val="Arial"/>
    </font>
    <font>
      <sz val="8"/>
      <color theme="8"/>
      <name val="Arial"/>
    </font>
    <font>
      <b/>
      <sz val="10"/>
      <color rgb="FF000000"/>
      <name val="Arial"/>
    </font>
    <font>
      <b/>
      <sz val="10"/>
      <color rgb="FFFF0000"/>
      <name val="Arial"/>
    </font>
    <font>
      <sz val="11"/>
      <color rgb="FF000000"/>
      <name val="Arial"/>
    </font>
    <font>
      <b/>
      <sz val="10"/>
      <name val="Arial"/>
    </font>
    <font>
      <sz val="12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Arial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7" fillId="1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7" fillId="2" borderId="2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/>
    </xf>
    <xf numFmtId="0" fontId="8" fillId="3" borderId="16" xfId="3" applyFont="1" applyBorder="1" applyAlignment="1">
      <alignment horizontal="center" vertical="center" wrapText="1"/>
    </xf>
    <xf numFmtId="0" fontId="8" fillId="3" borderId="17" xfId="3" applyFont="1" applyBorder="1" applyAlignment="1">
      <alignment horizontal="center" vertical="center" wrapText="1"/>
    </xf>
    <xf numFmtId="0" fontId="8" fillId="3" borderId="2" xfId="3" applyFont="1" applyBorder="1" applyAlignment="1">
      <alignment horizontal="center" vertical="center" wrapText="1"/>
    </xf>
    <xf numFmtId="0" fontId="8" fillId="3" borderId="18" xfId="3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7" borderId="1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0" borderId="4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1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135"/>
    </xf>
    <xf numFmtId="0" fontId="4" fillId="4" borderId="2" xfId="0" applyFont="1" applyFill="1" applyBorder="1" applyAlignment="1">
      <alignment horizontal="center" vertical="center" textRotation="135"/>
    </xf>
    <xf numFmtId="0" fontId="4" fillId="5" borderId="2" xfId="0" applyFont="1" applyFill="1" applyBorder="1" applyAlignment="1">
      <alignment horizontal="center" vertical="center" textRotation="135"/>
    </xf>
    <xf numFmtId="0" fontId="4" fillId="4" borderId="15" xfId="0" applyFont="1" applyFill="1" applyBorder="1" applyAlignment="1">
      <alignment horizontal="left" vertical="center" textRotation="135"/>
    </xf>
    <xf numFmtId="0" fontId="5" fillId="4" borderId="15" xfId="0" applyFont="1" applyFill="1" applyBorder="1" applyAlignment="1">
      <alignment horizontal="center" vertical="center" textRotation="135"/>
    </xf>
    <xf numFmtId="0" fontId="5" fillId="4" borderId="2" xfId="0" applyFont="1" applyFill="1" applyBorder="1" applyAlignment="1">
      <alignment horizontal="center" vertical="center" textRotation="135"/>
    </xf>
    <xf numFmtId="0" fontId="0" fillId="8" borderId="0" xfId="0" applyFill="1"/>
    <xf numFmtId="0" fontId="4" fillId="8" borderId="2" xfId="0" applyFont="1" applyFill="1" applyBorder="1" applyAlignment="1">
      <alignment horizontal="center" vertical="center" textRotation="135"/>
    </xf>
    <xf numFmtId="0" fontId="0" fillId="8" borderId="10" xfId="0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10" fillId="6" borderId="12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6" borderId="5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43" fontId="11" fillId="6" borderId="4" xfId="1" applyFont="1" applyFill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 wrapText="1"/>
    </xf>
    <xf numFmtId="43" fontId="5" fillId="6" borderId="10" xfId="1" applyFont="1" applyFill="1" applyBorder="1" applyAlignment="1">
      <alignment horizontal="center" vertical="center" wrapText="1"/>
    </xf>
    <xf numFmtId="43" fontId="5" fillId="6" borderId="7" xfId="1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textRotation="180"/>
    </xf>
    <xf numFmtId="0" fontId="4" fillId="4" borderId="2" xfId="0" applyFont="1" applyFill="1" applyBorder="1" applyAlignment="1">
      <alignment horizontal="center" vertical="top" textRotation="180"/>
    </xf>
    <xf numFmtId="0" fontId="4" fillId="5" borderId="2" xfId="0" applyFont="1" applyFill="1" applyBorder="1" applyAlignment="1">
      <alignment horizontal="center" vertical="top" textRotation="180"/>
    </xf>
    <xf numFmtId="0" fontId="4" fillId="4" borderId="15" xfId="0" applyFont="1" applyFill="1" applyBorder="1" applyAlignment="1">
      <alignment horizontal="center" vertical="top" textRotation="180"/>
    </xf>
    <xf numFmtId="0" fontId="5" fillId="4" borderId="15" xfId="0" applyFont="1" applyFill="1" applyBorder="1" applyAlignment="1">
      <alignment horizontal="center" vertical="top" textRotation="180"/>
    </xf>
    <xf numFmtId="0" fontId="7" fillId="2" borderId="2" xfId="2" applyFont="1" applyBorder="1" applyAlignment="1">
      <alignment horizontal="center" vertical="top" wrapText="1"/>
    </xf>
    <xf numFmtId="0" fontId="8" fillId="3" borderId="2" xfId="3" applyFont="1" applyBorder="1" applyAlignment="1">
      <alignment horizontal="center" vertical="top" wrapText="1"/>
    </xf>
    <xf numFmtId="0" fontId="8" fillId="3" borderId="18" xfId="3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" fillId="6" borderId="13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43" fontId="21" fillId="6" borderId="4" xfId="1" applyFont="1" applyFill="1" applyBorder="1" applyAlignment="1">
      <alignment horizontal="center" vertical="center" wrapText="1"/>
    </xf>
    <xf numFmtId="0" fontId="20" fillId="6" borderId="10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 wrapText="1"/>
    </xf>
    <xf numFmtId="0" fontId="20" fillId="6" borderId="14" xfId="0" applyFont="1" applyFill="1" applyBorder="1" applyAlignment="1">
      <alignment horizontal="center" vertical="center" wrapText="1"/>
    </xf>
    <xf numFmtId="0" fontId="20" fillId="6" borderId="1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top" textRotation="180" wrapText="1"/>
    </xf>
    <xf numFmtId="0" fontId="17" fillId="12" borderId="0" xfId="4" applyAlignment="1">
      <alignment textRotation="180"/>
    </xf>
    <xf numFmtId="0" fontId="17" fillId="12" borderId="2" xfId="4" applyBorder="1" applyAlignment="1">
      <alignment horizontal="center" vertical="top" textRotation="180"/>
    </xf>
    <xf numFmtId="0" fontId="17" fillId="12" borderId="12" xfId="4" applyBorder="1" applyAlignment="1">
      <alignment horizontal="center" vertical="center" wrapText="1"/>
    </xf>
    <xf numFmtId="0" fontId="17" fillId="12" borderId="4" xfId="4" applyBorder="1" applyAlignment="1">
      <alignment horizontal="center" vertical="center" wrapText="1"/>
    </xf>
    <xf numFmtId="0" fontId="17" fillId="12" borderId="10" xfId="4" applyBorder="1" applyAlignment="1">
      <alignment horizontal="center" vertical="center" wrapText="1"/>
    </xf>
    <xf numFmtId="0" fontId="8" fillId="3" borderId="16" xfId="3" applyFont="1" applyBorder="1" applyAlignment="1">
      <alignment horizontal="center" vertical="top" textRotation="180" wrapText="1"/>
    </xf>
    <xf numFmtId="0" fontId="8" fillId="3" borderId="17" xfId="3" applyFont="1" applyBorder="1" applyAlignment="1">
      <alignment horizontal="center" vertical="top" textRotation="180" wrapText="1"/>
    </xf>
    <xf numFmtId="0" fontId="0" fillId="0" borderId="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textRotation="180"/>
    </xf>
    <xf numFmtId="0" fontId="5" fillId="6" borderId="4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/>
    </xf>
    <xf numFmtId="0" fontId="20" fillId="6" borderId="4" xfId="0" applyFont="1" applyFill="1" applyBorder="1" applyAlignment="1">
      <alignment horizontal="center" vertical="top" wrapText="1"/>
    </xf>
    <xf numFmtId="0" fontId="20" fillId="6" borderId="4" xfId="0" applyFont="1" applyFill="1" applyBorder="1" applyAlignment="1">
      <alignment horizontal="center" vertical="top"/>
    </xf>
    <xf numFmtId="0" fontId="20" fillId="6" borderId="10" xfId="0" applyFont="1" applyFill="1" applyBorder="1" applyAlignment="1">
      <alignment horizontal="center" vertical="top" wrapText="1"/>
    </xf>
    <xf numFmtId="0" fontId="20" fillId="6" borderId="10" xfId="0" applyFont="1" applyFill="1" applyBorder="1" applyAlignment="1">
      <alignment horizontal="center" vertical="top"/>
    </xf>
    <xf numFmtId="0" fontId="8" fillId="3" borderId="19" xfId="3" applyFont="1" applyBorder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5" fillId="0" borderId="21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left" vertical="center" wrapText="1"/>
    </xf>
    <xf numFmtId="0" fontId="10" fillId="0" borderId="24" xfId="0" applyFont="1" applyBorder="1" applyAlignment="1">
      <alignment vertical="center" wrapText="1"/>
    </xf>
    <xf numFmtId="0" fontId="10" fillId="0" borderId="24" xfId="0" applyFont="1" applyFill="1" applyBorder="1" applyAlignment="1">
      <alignment horizontal="left" vertical="center" wrapText="1"/>
    </xf>
    <xf numFmtId="0" fontId="5" fillId="0" borderId="24" xfId="0" applyFont="1" applyFill="1" applyBorder="1" applyAlignment="1">
      <alignment horizontal="left" vertical="center" wrapText="1"/>
    </xf>
    <xf numFmtId="0" fontId="5" fillId="0" borderId="25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6" fillId="0" borderId="0" xfId="0" applyFont="1" applyBorder="1" applyAlignment="1">
      <alignment horizontal="center" wrapText="1"/>
    </xf>
    <xf numFmtId="0" fontId="5" fillId="0" borderId="23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left" vertical="center" wrapText="1"/>
    </xf>
    <xf numFmtId="0" fontId="22" fillId="0" borderId="26" xfId="0" applyFont="1" applyBorder="1" applyAlignment="1">
      <alignment horizontal="left" vertical="center" wrapText="1"/>
    </xf>
    <xf numFmtId="0" fontId="10" fillId="0" borderId="26" xfId="0" applyFont="1" applyBorder="1" applyAlignment="1">
      <alignment horizontal="left" wrapText="1"/>
    </xf>
    <xf numFmtId="0" fontId="10" fillId="0" borderId="26" xfId="0" applyFont="1" applyFill="1" applyBorder="1" applyAlignment="1">
      <alignment horizontal="left" vertical="center" wrapText="1"/>
    </xf>
    <xf numFmtId="43" fontId="0" fillId="0" borderId="6" xfId="1" applyFont="1" applyBorder="1" applyAlignment="1"/>
    <xf numFmtId="0" fontId="0" fillId="8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7" borderId="21" xfId="0" applyFont="1" applyFill="1" applyBorder="1" applyAlignment="1">
      <alignment horizontal="center" vertical="center" wrapText="1"/>
    </xf>
    <xf numFmtId="0" fontId="13" fillId="7" borderId="22" xfId="0" applyFont="1" applyFill="1" applyBorder="1" applyAlignment="1">
      <alignment horizontal="center" vertical="center" wrapText="1"/>
    </xf>
    <xf numFmtId="0" fontId="13" fillId="7" borderId="23" xfId="0" applyFont="1" applyFill="1" applyBorder="1" applyAlignment="1">
      <alignment horizontal="center" vertical="center" wrapText="1"/>
    </xf>
    <xf numFmtId="0" fontId="13" fillId="7" borderId="11" xfId="0" applyFont="1" applyFill="1" applyBorder="1" applyAlignment="1">
      <alignment horizontal="center" vertical="center" wrapText="1"/>
    </xf>
    <xf numFmtId="0" fontId="13" fillId="7" borderId="12" xfId="0" applyFont="1" applyFill="1" applyBorder="1" applyAlignment="1">
      <alignment horizontal="center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0" fontId="8" fillId="10" borderId="27" xfId="3" applyFont="1" applyFill="1" applyBorder="1" applyAlignment="1">
      <alignment horizontal="center" vertical="center" wrapText="1"/>
    </xf>
    <xf numFmtId="0" fontId="8" fillId="10" borderId="28" xfId="3" applyFont="1" applyFill="1" applyBorder="1" applyAlignment="1">
      <alignment horizontal="center" vertical="center" wrapText="1"/>
    </xf>
    <xf numFmtId="12" fontId="0" fillId="0" borderId="0" xfId="0" applyNumberFormat="1"/>
    <xf numFmtId="0" fontId="0" fillId="0" borderId="9" xfId="0" applyBorder="1" applyAlignment="1">
      <alignment horizontal="center" textRotation="180"/>
    </xf>
    <xf numFmtId="0" fontId="0" fillId="0" borderId="22" xfId="0" applyBorder="1" applyAlignment="1">
      <alignment horizontal="center" textRotation="180"/>
    </xf>
    <xf numFmtId="0" fontId="4" fillId="4" borderId="29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/>
    </xf>
    <xf numFmtId="0" fontId="5" fillId="4" borderId="30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 wrapText="1"/>
    </xf>
    <xf numFmtId="0" fontId="7" fillId="2" borderId="30" xfId="2" applyFont="1" applyBorder="1" applyAlignment="1">
      <alignment horizontal="center" vertical="top" textRotation="180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textRotation="180"/>
    </xf>
    <xf numFmtId="0" fontId="4" fillId="5" borderId="30" xfId="0" applyFont="1" applyFill="1" applyBorder="1" applyAlignment="1">
      <alignment horizontal="center" vertical="top" textRotation="180"/>
    </xf>
    <xf numFmtId="0" fontId="0" fillId="0" borderId="4" xfId="0" applyBorder="1" applyAlignment="1">
      <alignment horizontal="center" vertical="top" wrapText="1"/>
    </xf>
    <xf numFmtId="0" fontId="0" fillId="0" borderId="31" xfId="0" applyBorder="1" applyAlignment="1">
      <alignment horizontal="center" textRotation="180"/>
    </xf>
    <xf numFmtId="0" fontId="0" fillId="0" borderId="32" xfId="0" applyBorder="1" applyAlignment="1">
      <alignment horizontal="center" textRotation="180"/>
    </xf>
    <xf numFmtId="0" fontId="0" fillId="0" borderId="27" xfId="0" applyBorder="1" applyAlignment="1">
      <alignment horizontal="center" textRotation="180"/>
    </xf>
    <xf numFmtId="0" fontId="0" fillId="0" borderId="28" xfId="0" applyBorder="1" applyAlignment="1">
      <alignment horizontal="center" textRotation="180"/>
    </xf>
  </cellXfs>
  <cellStyles count="7">
    <cellStyle name="Bad" xfId="4" builtinId="27"/>
    <cellStyle name="Calculation" xfId="3" builtinId="22"/>
    <cellStyle name="Comma" xfId="1" builtinId="3"/>
    <cellStyle name="Followed Hyperlink" xfId="6" builtinId="9" hidden="1"/>
    <cellStyle name="Good" xfId="2" builtinId="26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38100</xdr:rowOff>
        </xdr:from>
        <xdr:to>
          <xdr:col>13</xdr:col>
          <xdr:colOff>152400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66261</xdr:colOff>
          <xdr:row>0</xdr:row>
          <xdr:rowOff>104361</xdr:rowOff>
        </xdr:from>
        <xdr:to>
          <xdr:col>26</xdr:col>
          <xdr:colOff>140804</xdr:colOff>
          <xdr:row>1</xdr:row>
          <xdr:rowOff>209136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1"/>
  <sheetViews>
    <sheetView zoomScale="115" zoomScaleNormal="115" zoomScalePageLayoutView="150" workbookViewId="0">
      <selection activeCell="H3" sqref="H3"/>
    </sheetView>
  </sheetViews>
  <sheetFormatPr defaultColWidth="8.85546875" defaultRowHeight="15"/>
  <cols>
    <col min="1" max="1" width="10.42578125" customWidth="1"/>
    <col min="2" max="2" width="9.140625" customWidth="1"/>
    <col min="3" max="3" width="7.85546875" customWidth="1"/>
    <col min="4" max="4" width="10" customWidth="1"/>
    <col min="5" max="5" width="14.28515625" customWidth="1"/>
    <col min="6" max="6" width="9" customWidth="1"/>
    <col min="7" max="7" width="7" customWidth="1"/>
    <col min="8" max="8" width="8" customWidth="1"/>
    <col min="9" max="10" width="4.7109375" customWidth="1"/>
    <col min="11" max="12" width="5" style="83" customWidth="1"/>
    <col min="13" max="19" width="5" customWidth="1"/>
    <col min="20" max="20" width="5" style="62" customWidth="1"/>
    <col min="21" max="25" width="5" customWidth="1"/>
    <col min="32" max="32" width="12.7109375" bestFit="1" customWidth="1"/>
    <col min="39" max="39" width="12.42578125" bestFit="1" customWidth="1"/>
  </cols>
  <sheetData>
    <row r="1" spans="1:45">
      <c r="A1" s="141" t="s">
        <v>56</v>
      </c>
      <c r="B1" s="141"/>
      <c r="C1" s="141"/>
      <c r="H1" s="141" t="s">
        <v>57</v>
      </c>
      <c r="I1" s="141"/>
      <c r="J1" s="141"/>
    </row>
    <row r="2" spans="1:45" ht="15.75" thickBot="1">
      <c r="A2" s="140" t="s">
        <v>58</v>
      </c>
      <c r="B2" s="140"/>
      <c r="C2" s="140"/>
      <c r="H2" s="140" t="s">
        <v>59</v>
      </c>
      <c r="I2" s="140"/>
      <c r="J2" s="140"/>
    </row>
    <row r="3" spans="1:45" ht="162" customHeight="1" thickBot="1">
      <c r="A3" s="56" t="s">
        <v>139</v>
      </c>
      <c r="B3" s="57" t="s">
        <v>140</v>
      </c>
      <c r="C3" s="58" t="s">
        <v>141</v>
      </c>
      <c r="D3" s="58" t="s">
        <v>0</v>
      </c>
      <c r="E3" s="57" t="s">
        <v>1</v>
      </c>
      <c r="F3" s="57" t="s">
        <v>2</v>
      </c>
      <c r="G3" s="57" t="s">
        <v>3</v>
      </c>
      <c r="H3" s="57" t="s">
        <v>142</v>
      </c>
      <c r="I3" s="57" t="s">
        <v>143</v>
      </c>
      <c r="J3" s="59" t="s">
        <v>144</v>
      </c>
      <c r="K3" s="60" t="s">
        <v>111</v>
      </c>
      <c r="L3" s="60" t="s">
        <v>4</v>
      </c>
      <c r="M3" s="61" t="s">
        <v>145</v>
      </c>
      <c r="N3" s="57" t="s">
        <v>5</v>
      </c>
      <c r="O3" s="61" t="s">
        <v>146</v>
      </c>
      <c r="P3" s="61" t="s">
        <v>6</v>
      </c>
      <c r="Q3" s="57" t="s">
        <v>7</v>
      </c>
      <c r="R3" s="57" t="s">
        <v>8</v>
      </c>
      <c r="S3" s="57" t="s">
        <v>9</v>
      </c>
      <c r="T3" s="63" t="s">
        <v>147</v>
      </c>
      <c r="U3" s="57" t="s">
        <v>10</v>
      </c>
      <c r="V3" s="57" t="s">
        <v>11</v>
      </c>
      <c r="W3" s="57" t="s">
        <v>12</v>
      </c>
      <c r="X3" s="57" t="s">
        <v>13</v>
      </c>
      <c r="Y3" s="57" t="s">
        <v>14</v>
      </c>
      <c r="Z3" s="57" t="s">
        <v>15</v>
      </c>
      <c r="AA3" s="1" t="s">
        <v>16</v>
      </c>
      <c r="AB3" s="1" t="s">
        <v>17</v>
      </c>
      <c r="AC3" s="1" t="s">
        <v>18</v>
      </c>
      <c r="AD3" s="1" t="s">
        <v>19</v>
      </c>
      <c r="AE3" s="1" t="s">
        <v>20</v>
      </c>
      <c r="AF3" s="1" t="s">
        <v>21</v>
      </c>
      <c r="AG3" s="1" t="s">
        <v>22</v>
      </c>
      <c r="AH3" s="14" t="s">
        <v>23</v>
      </c>
      <c r="AI3" s="15" t="s">
        <v>24</v>
      </c>
      <c r="AJ3" s="15" t="s">
        <v>25</v>
      </c>
      <c r="AK3" s="15" t="s">
        <v>26</v>
      </c>
      <c r="AL3" s="15" t="s">
        <v>27</v>
      </c>
      <c r="AM3" s="16" t="s">
        <v>28</v>
      </c>
      <c r="AN3" s="16" t="s">
        <v>28</v>
      </c>
      <c r="AO3" s="16" t="s">
        <v>29</v>
      </c>
      <c r="AP3" s="16" t="s">
        <v>30</v>
      </c>
      <c r="AQ3" s="16" t="s">
        <v>31</v>
      </c>
      <c r="AR3" s="16" t="s">
        <v>32</v>
      </c>
      <c r="AS3" s="17" t="s">
        <v>33</v>
      </c>
    </row>
    <row r="4" spans="1:45" s="20" customFormat="1" ht="78.75">
      <c r="A4" s="65" t="s">
        <v>55</v>
      </c>
      <c r="B4" s="4" t="s">
        <v>34</v>
      </c>
      <c r="C4" s="4">
        <v>60</v>
      </c>
      <c r="D4" s="4">
        <v>4</v>
      </c>
      <c r="E4" s="4">
        <v>40</v>
      </c>
      <c r="F4" s="4">
        <v>7</v>
      </c>
      <c r="G4" s="4">
        <v>7</v>
      </c>
      <c r="H4" s="4">
        <v>7</v>
      </c>
      <c r="I4" s="66">
        <v>0</v>
      </c>
      <c r="J4" s="4" t="s">
        <v>46</v>
      </c>
      <c r="K4" s="3" t="s">
        <v>42</v>
      </c>
      <c r="L4" s="3" t="s">
        <v>42</v>
      </c>
      <c r="M4" s="3" t="s">
        <v>47</v>
      </c>
      <c r="N4" s="4" t="s">
        <v>35</v>
      </c>
      <c r="O4" s="4" t="s">
        <v>60</v>
      </c>
      <c r="P4" s="4" t="s">
        <v>48</v>
      </c>
      <c r="Q4" s="4" t="s">
        <v>49</v>
      </c>
      <c r="R4" s="4" t="s">
        <v>48</v>
      </c>
      <c r="S4" s="4" t="s">
        <v>49</v>
      </c>
      <c r="T4" s="67" t="s">
        <v>35</v>
      </c>
      <c r="U4" s="4" t="s">
        <v>40</v>
      </c>
      <c r="V4" s="4" t="s">
        <v>52</v>
      </c>
      <c r="W4" s="4" t="s">
        <v>35</v>
      </c>
      <c r="X4" s="4" t="s">
        <v>48</v>
      </c>
      <c r="Y4" s="4" t="s">
        <v>49</v>
      </c>
      <c r="Z4" s="4" t="s">
        <v>15</v>
      </c>
      <c r="AA4" s="4" t="s">
        <v>61</v>
      </c>
      <c r="AB4" s="4" t="s">
        <v>80</v>
      </c>
      <c r="AC4" s="4">
        <v>2</v>
      </c>
      <c r="AD4" s="4">
        <v>1</v>
      </c>
      <c r="AE4" s="4">
        <v>0.5</v>
      </c>
      <c r="AF4" s="4" t="s">
        <v>81</v>
      </c>
      <c r="AG4" s="4"/>
      <c r="AH4" s="4">
        <f t="shared" ref="AH4:AH9" si="0">(C4-(H4*2))/2</f>
        <v>23</v>
      </c>
      <c r="AI4" s="4">
        <v>25</v>
      </c>
      <c r="AJ4" s="4">
        <v>1</v>
      </c>
      <c r="AK4" s="4">
        <v>20</v>
      </c>
      <c r="AL4" s="4">
        <v>10</v>
      </c>
      <c r="AM4" s="4">
        <f>((C4-(I4*2))*1.5+(AK4*2)+((AC4+AE4+AD4)*2)*AJ4)/36*2</f>
        <v>7.6111111111111107</v>
      </c>
      <c r="AN4" s="4"/>
      <c r="AO4" s="68">
        <f>(((C12-H12*2)*1.5)+(AL12+AC12)*2)*AJ12/36</f>
        <v>4.25</v>
      </c>
      <c r="AP4" s="68"/>
      <c r="AQ4" s="68"/>
      <c r="AR4" s="68"/>
      <c r="AS4" s="69"/>
    </row>
    <row r="5" spans="1:45" s="20" customFormat="1" ht="78.75">
      <c r="A5" s="71" t="s">
        <v>55</v>
      </c>
      <c r="B5" s="7" t="s">
        <v>34</v>
      </c>
      <c r="C5" s="7">
        <v>60</v>
      </c>
      <c r="D5" s="7">
        <v>4</v>
      </c>
      <c r="E5" s="7">
        <v>40</v>
      </c>
      <c r="F5" s="7">
        <v>7</v>
      </c>
      <c r="G5" s="7">
        <v>7</v>
      </c>
      <c r="H5" s="7">
        <v>7</v>
      </c>
      <c r="I5" s="7">
        <v>0</v>
      </c>
      <c r="J5" s="7" t="s">
        <v>46</v>
      </c>
      <c r="K5" s="10" t="s">
        <v>54</v>
      </c>
      <c r="L5" s="10" t="s">
        <v>54</v>
      </c>
      <c r="M5" s="7" t="s">
        <v>47</v>
      </c>
      <c r="N5" s="7" t="s">
        <v>35</v>
      </c>
      <c r="O5" s="7" t="s">
        <v>60</v>
      </c>
      <c r="P5" s="7" t="s">
        <v>48</v>
      </c>
      <c r="Q5" s="7" t="s">
        <v>49</v>
      </c>
      <c r="R5" s="7" t="s">
        <v>48</v>
      </c>
      <c r="S5" s="7" t="s">
        <v>49</v>
      </c>
      <c r="T5" s="72" t="s">
        <v>35</v>
      </c>
      <c r="U5" s="7" t="s">
        <v>67</v>
      </c>
      <c r="V5" s="7"/>
      <c r="W5" s="7" t="s">
        <v>35</v>
      </c>
      <c r="X5" s="7" t="s">
        <v>48</v>
      </c>
      <c r="Y5" s="7" t="s">
        <v>49</v>
      </c>
      <c r="Z5" s="7" t="s">
        <v>15</v>
      </c>
      <c r="AA5" s="7" t="s">
        <v>66</v>
      </c>
      <c r="AB5" s="7" t="s">
        <v>80</v>
      </c>
      <c r="AC5" s="7">
        <v>2</v>
      </c>
      <c r="AD5" s="7">
        <v>1</v>
      </c>
      <c r="AE5" s="7">
        <v>0.5</v>
      </c>
      <c r="AF5" s="7" t="s">
        <v>81</v>
      </c>
      <c r="AG5" s="7"/>
      <c r="AH5" s="7">
        <f t="shared" si="0"/>
        <v>23</v>
      </c>
      <c r="AI5" s="7">
        <v>25</v>
      </c>
      <c r="AJ5" s="7">
        <v>1</v>
      </c>
      <c r="AK5" s="7">
        <v>20</v>
      </c>
      <c r="AL5" s="7">
        <v>10</v>
      </c>
      <c r="AM5" s="74"/>
      <c r="AN5" s="74"/>
      <c r="AO5" s="74">
        <f>(((C5-H5*2)*1.5)+(AL5+AC5)*2)*AJ5/36</f>
        <v>2.5833333333333335</v>
      </c>
      <c r="AP5" s="74">
        <f>ROUND(AJ5*35,2)</f>
        <v>35</v>
      </c>
      <c r="AQ5" s="74"/>
      <c r="AR5" s="74"/>
      <c r="AS5" s="75"/>
    </row>
    <row r="6" spans="1:45" s="20" customFormat="1" ht="78.75">
      <c r="A6" s="71" t="s">
        <v>53</v>
      </c>
      <c r="B6" s="7" t="s">
        <v>34</v>
      </c>
      <c r="C6" s="7">
        <v>60</v>
      </c>
      <c r="D6" s="7">
        <v>4</v>
      </c>
      <c r="E6" s="7">
        <v>40</v>
      </c>
      <c r="F6" s="7">
        <v>7</v>
      </c>
      <c r="G6" s="7">
        <v>7</v>
      </c>
      <c r="H6" s="7">
        <v>7</v>
      </c>
      <c r="I6" s="7">
        <v>0</v>
      </c>
      <c r="J6" s="7" t="s">
        <v>46</v>
      </c>
      <c r="K6" s="10" t="s">
        <v>43</v>
      </c>
      <c r="L6" s="10" t="s">
        <v>43</v>
      </c>
      <c r="M6" s="7" t="s">
        <v>47</v>
      </c>
      <c r="N6" s="7" t="s">
        <v>35</v>
      </c>
      <c r="O6" s="7" t="s">
        <v>60</v>
      </c>
      <c r="P6" s="7" t="s">
        <v>48</v>
      </c>
      <c r="Q6" s="7" t="s">
        <v>49</v>
      </c>
      <c r="R6" s="7" t="s">
        <v>48</v>
      </c>
      <c r="S6" s="7" t="s">
        <v>49</v>
      </c>
      <c r="T6" s="72" t="s">
        <v>35</v>
      </c>
      <c r="U6" s="7" t="s">
        <v>67</v>
      </c>
      <c r="V6" s="7" t="s">
        <v>49</v>
      </c>
      <c r="W6" s="7" t="s">
        <v>35</v>
      </c>
      <c r="X6" s="7" t="s">
        <v>48</v>
      </c>
      <c r="Y6" s="7" t="s">
        <v>49</v>
      </c>
      <c r="Z6" s="7" t="s">
        <v>15</v>
      </c>
      <c r="AA6" s="7" t="s">
        <v>61</v>
      </c>
      <c r="AB6" s="7" t="s">
        <v>80</v>
      </c>
      <c r="AC6" s="7">
        <v>2</v>
      </c>
      <c r="AD6" s="7">
        <v>1</v>
      </c>
      <c r="AE6" s="7">
        <v>0.5</v>
      </c>
      <c r="AF6" s="7" t="s">
        <v>81</v>
      </c>
      <c r="AG6" s="7"/>
      <c r="AH6" s="7">
        <f t="shared" si="0"/>
        <v>23</v>
      </c>
      <c r="AI6" s="7">
        <v>25</v>
      </c>
      <c r="AJ6" s="7">
        <v>1</v>
      </c>
      <c r="AK6" s="7">
        <v>20</v>
      </c>
      <c r="AL6" s="7">
        <v>10</v>
      </c>
      <c r="AM6" s="74"/>
      <c r="AN6" s="74"/>
      <c r="AO6" s="74">
        <f>(((C6-H6*2)*1.5)+(AL6+AC6)*2)*AJ6/36</f>
        <v>2.5833333333333335</v>
      </c>
      <c r="AP6" s="74">
        <f>ROUND(AJ6*35,2)</f>
        <v>35</v>
      </c>
      <c r="AQ6" s="74"/>
      <c r="AR6" s="74"/>
      <c r="AS6" s="75"/>
    </row>
    <row r="7" spans="1:45" s="20" customFormat="1" ht="78.75">
      <c r="A7" s="71" t="s">
        <v>82</v>
      </c>
      <c r="B7" s="7" t="s">
        <v>34</v>
      </c>
      <c r="C7" s="7">
        <v>60</v>
      </c>
      <c r="D7" s="7">
        <v>4</v>
      </c>
      <c r="E7" s="7">
        <v>40</v>
      </c>
      <c r="F7" s="7">
        <v>7</v>
      </c>
      <c r="G7" s="7">
        <v>7</v>
      </c>
      <c r="H7" s="7">
        <v>7</v>
      </c>
      <c r="I7" s="7">
        <v>0</v>
      </c>
      <c r="J7" s="7" t="s">
        <v>46</v>
      </c>
      <c r="K7" s="10" t="s">
        <v>43</v>
      </c>
      <c r="L7" s="10" t="s">
        <v>43</v>
      </c>
      <c r="M7" s="7" t="s">
        <v>47</v>
      </c>
      <c r="N7" s="7" t="s">
        <v>35</v>
      </c>
      <c r="O7" s="7" t="s">
        <v>60</v>
      </c>
      <c r="P7" s="7" t="s">
        <v>48</v>
      </c>
      <c r="Q7" s="7" t="s">
        <v>49</v>
      </c>
      <c r="R7" s="7" t="s">
        <v>48</v>
      </c>
      <c r="S7" s="7" t="s">
        <v>49</v>
      </c>
      <c r="T7" s="72" t="s">
        <v>35</v>
      </c>
      <c r="U7" s="7" t="s">
        <v>67</v>
      </c>
      <c r="V7" s="7" t="s">
        <v>39</v>
      </c>
      <c r="W7" s="7" t="s">
        <v>35</v>
      </c>
      <c r="X7" s="7" t="s">
        <v>48</v>
      </c>
      <c r="Y7" s="7" t="s">
        <v>49</v>
      </c>
      <c r="Z7" s="7" t="s">
        <v>15</v>
      </c>
      <c r="AA7" s="7" t="s">
        <v>61</v>
      </c>
      <c r="AB7" s="7" t="s">
        <v>80</v>
      </c>
      <c r="AC7" s="7">
        <v>2</v>
      </c>
      <c r="AD7" s="7">
        <v>1</v>
      </c>
      <c r="AE7" s="7">
        <v>0.5</v>
      </c>
      <c r="AF7" s="7" t="s">
        <v>81</v>
      </c>
      <c r="AG7" s="7"/>
      <c r="AH7" s="7">
        <f t="shared" si="0"/>
        <v>23</v>
      </c>
      <c r="AI7" s="7">
        <v>25</v>
      </c>
      <c r="AJ7" s="7">
        <v>1</v>
      </c>
      <c r="AK7" s="7">
        <v>20</v>
      </c>
      <c r="AL7" s="7">
        <v>10</v>
      </c>
      <c r="AM7" s="74"/>
      <c r="AN7" s="74"/>
      <c r="AO7" s="74">
        <f>(((C7-H7*2)*1.5)+(AL7+AC7)*2)*AJ7/36</f>
        <v>2.5833333333333335</v>
      </c>
      <c r="AP7" s="74">
        <f>ROUND(AJ7*35,2)</f>
        <v>35</v>
      </c>
      <c r="AQ7" s="74"/>
      <c r="AR7" s="74"/>
      <c r="AS7" s="75"/>
    </row>
    <row r="8" spans="1:45" s="20" customFormat="1" ht="78.75">
      <c r="A8" s="71" t="s">
        <v>82</v>
      </c>
      <c r="B8" s="7" t="s">
        <v>34</v>
      </c>
      <c r="C8" s="7">
        <v>60</v>
      </c>
      <c r="D8" s="7">
        <v>4</v>
      </c>
      <c r="E8" s="7">
        <v>40</v>
      </c>
      <c r="F8" s="7">
        <v>7</v>
      </c>
      <c r="G8" s="7">
        <v>7</v>
      </c>
      <c r="H8" s="7">
        <v>7</v>
      </c>
      <c r="I8" s="7">
        <v>0</v>
      </c>
      <c r="J8" s="7" t="s">
        <v>46</v>
      </c>
      <c r="K8" s="10" t="s">
        <v>43</v>
      </c>
      <c r="L8" s="10" t="s">
        <v>43</v>
      </c>
      <c r="M8" s="7" t="s">
        <v>47</v>
      </c>
      <c r="N8" s="7" t="s">
        <v>35</v>
      </c>
      <c r="O8" s="7" t="s">
        <v>60</v>
      </c>
      <c r="P8" s="7" t="s">
        <v>48</v>
      </c>
      <c r="Q8" s="7" t="s">
        <v>49</v>
      </c>
      <c r="R8" s="7" t="s">
        <v>48</v>
      </c>
      <c r="S8" s="7" t="s">
        <v>49</v>
      </c>
      <c r="T8" s="72" t="s">
        <v>35</v>
      </c>
      <c r="U8" s="7" t="s">
        <v>67</v>
      </c>
      <c r="V8" s="7" t="s">
        <v>83</v>
      </c>
      <c r="W8" s="7" t="s">
        <v>35</v>
      </c>
      <c r="X8" s="7" t="s">
        <v>48</v>
      </c>
      <c r="Y8" s="7" t="s">
        <v>49</v>
      </c>
      <c r="Z8" s="7" t="s">
        <v>15</v>
      </c>
      <c r="AA8" s="7" t="s">
        <v>61</v>
      </c>
      <c r="AB8" s="7" t="s">
        <v>80</v>
      </c>
      <c r="AC8" s="7">
        <v>2</v>
      </c>
      <c r="AD8" s="7">
        <v>1</v>
      </c>
      <c r="AE8" s="7">
        <v>0.5</v>
      </c>
      <c r="AF8" s="7" t="s">
        <v>81</v>
      </c>
      <c r="AG8" s="7"/>
      <c r="AH8" s="7">
        <f t="shared" si="0"/>
        <v>23</v>
      </c>
      <c r="AI8" s="7">
        <v>25</v>
      </c>
      <c r="AJ8" s="7">
        <v>1</v>
      </c>
      <c r="AK8" s="7">
        <v>20</v>
      </c>
      <c r="AL8" s="7">
        <v>10</v>
      </c>
      <c r="AM8" s="74"/>
      <c r="AN8" s="74"/>
      <c r="AO8" s="74"/>
      <c r="AP8" s="74"/>
      <c r="AQ8" s="74"/>
      <c r="AR8" s="74"/>
      <c r="AS8" s="75"/>
    </row>
    <row r="9" spans="1:45" s="20" customFormat="1" ht="78.75">
      <c r="A9" s="71" t="s">
        <v>84</v>
      </c>
      <c r="B9" s="7" t="s">
        <v>34</v>
      </c>
      <c r="C9" s="7">
        <v>60</v>
      </c>
      <c r="D9" s="7">
        <v>4</v>
      </c>
      <c r="E9" s="7">
        <v>40</v>
      </c>
      <c r="F9" s="7">
        <v>7</v>
      </c>
      <c r="G9" s="7">
        <v>7</v>
      </c>
      <c r="H9" s="7">
        <v>7</v>
      </c>
      <c r="I9" s="7">
        <v>0</v>
      </c>
      <c r="J9" s="7" t="s">
        <v>46</v>
      </c>
      <c r="K9" s="10"/>
      <c r="L9" s="10"/>
      <c r="M9" s="7" t="s">
        <v>47</v>
      </c>
      <c r="N9" s="7" t="s">
        <v>35</v>
      </c>
      <c r="O9" s="7" t="s">
        <v>60</v>
      </c>
      <c r="P9" s="7" t="s">
        <v>48</v>
      </c>
      <c r="Q9" s="7" t="s">
        <v>49</v>
      </c>
      <c r="R9" s="7" t="s">
        <v>48</v>
      </c>
      <c r="S9" s="7" t="s">
        <v>49</v>
      </c>
      <c r="T9" s="72" t="s">
        <v>35</v>
      </c>
      <c r="U9" s="7" t="s">
        <v>40</v>
      </c>
      <c r="V9" s="7"/>
      <c r="W9" s="7" t="s">
        <v>35</v>
      </c>
      <c r="X9" s="7" t="s">
        <v>48</v>
      </c>
      <c r="Y9" s="7" t="s">
        <v>49</v>
      </c>
      <c r="Z9" s="7" t="s">
        <v>15</v>
      </c>
      <c r="AA9" s="7" t="s">
        <v>61</v>
      </c>
      <c r="AB9" s="7" t="s">
        <v>80</v>
      </c>
      <c r="AC9" s="7">
        <v>2</v>
      </c>
      <c r="AD9" s="7">
        <v>1</v>
      </c>
      <c r="AE9" s="7">
        <v>0.5</v>
      </c>
      <c r="AF9" s="7" t="s">
        <v>81</v>
      </c>
      <c r="AG9" s="7"/>
      <c r="AH9" s="7">
        <f t="shared" si="0"/>
        <v>23</v>
      </c>
      <c r="AI9" s="7">
        <v>25</v>
      </c>
      <c r="AJ9" s="7">
        <v>1</v>
      </c>
      <c r="AK9" s="7">
        <v>20</v>
      </c>
      <c r="AL9" s="7">
        <v>10</v>
      </c>
      <c r="AM9" s="74">
        <f>((C9-(I9*2))*1.5+(AK9*2)+((AC9+AE9+AD9)*2)*AJ9)/36*2</f>
        <v>7.6111111111111107</v>
      </c>
      <c r="AN9" s="74"/>
      <c r="AO9" s="74">
        <f>(((C9-H9*2)*1.5)+(AL9+AC9)*2)*AJ9/36</f>
        <v>2.5833333333333335</v>
      </c>
      <c r="AP9" s="74">
        <f t="shared" ref="AP9:AP14" si="1">ROUND(AJ9*35,2)</f>
        <v>35</v>
      </c>
      <c r="AQ9" s="74">
        <f>7.61111111111111*25</f>
        <v>190.27777777777774</v>
      </c>
      <c r="AR9" s="74"/>
      <c r="AS9" s="75"/>
    </row>
    <row r="10" spans="1:45" s="20" customFormat="1" ht="78.75">
      <c r="A10" s="71" t="s">
        <v>85</v>
      </c>
      <c r="B10" s="7" t="s">
        <v>34</v>
      </c>
      <c r="C10" s="7">
        <v>100</v>
      </c>
      <c r="D10" s="7">
        <v>10</v>
      </c>
      <c r="E10" s="7">
        <v>96</v>
      </c>
      <c r="F10" s="7">
        <v>4</v>
      </c>
      <c r="G10" s="7">
        <v>4</v>
      </c>
      <c r="H10" s="7">
        <v>7</v>
      </c>
      <c r="I10" s="7">
        <v>3</v>
      </c>
      <c r="J10" s="7" t="s">
        <v>46</v>
      </c>
      <c r="K10" s="10" t="s">
        <v>85</v>
      </c>
      <c r="L10" s="10" t="s">
        <v>85</v>
      </c>
      <c r="M10" s="7" t="s">
        <v>47</v>
      </c>
      <c r="N10" s="7" t="s">
        <v>35</v>
      </c>
      <c r="O10" s="7" t="s">
        <v>60</v>
      </c>
      <c r="P10" s="7" t="s">
        <v>48</v>
      </c>
      <c r="Q10" s="7" t="s">
        <v>49</v>
      </c>
      <c r="R10" s="7" t="s">
        <v>48</v>
      </c>
      <c r="S10" s="7" t="s">
        <v>49</v>
      </c>
      <c r="T10" s="72" t="s">
        <v>35</v>
      </c>
      <c r="U10" s="7" t="s">
        <v>40</v>
      </c>
      <c r="V10" s="7" t="s">
        <v>85</v>
      </c>
      <c r="W10" s="7" t="s">
        <v>35</v>
      </c>
      <c r="X10" s="7" t="s">
        <v>48</v>
      </c>
      <c r="Y10" s="7" t="s">
        <v>49</v>
      </c>
      <c r="Z10" s="7" t="s">
        <v>15</v>
      </c>
      <c r="AA10" s="7" t="s">
        <v>61</v>
      </c>
      <c r="AB10" s="7" t="s">
        <v>80</v>
      </c>
      <c r="AC10" s="7">
        <v>2</v>
      </c>
      <c r="AD10" s="7">
        <v>1</v>
      </c>
      <c r="AE10" s="7">
        <v>0.5</v>
      </c>
      <c r="AF10" s="7" t="s">
        <v>81</v>
      </c>
      <c r="AG10" s="7"/>
      <c r="AH10" s="7">
        <f>(C10-(H10*2))/2</f>
        <v>43</v>
      </c>
      <c r="AI10" s="7">
        <v>25</v>
      </c>
      <c r="AJ10" s="7">
        <v>1</v>
      </c>
      <c r="AK10" s="7">
        <v>20</v>
      </c>
      <c r="AL10" s="7">
        <v>10</v>
      </c>
      <c r="AM10" s="74">
        <f>((C10-(I10*2))*1.5+(AK10*2)+((AC10+AE10+AD10)*2)*AJ10)/36</f>
        <v>5.2222222222222223</v>
      </c>
      <c r="AN10" s="74">
        <f>((C10-(I10*2))*1.5+(AK10*2)+((AC10+AE10+AD10)*2)*AJ10)/36</f>
        <v>5.2222222222222223</v>
      </c>
      <c r="AO10" s="74">
        <f>(((C10-H10*2)*1.5)+(AL10+AC10)*2)*AJ10/36</f>
        <v>4.25</v>
      </c>
      <c r="AP10" s="74">
        <f t="shared" si="1"/>
        <v>35</v>
      </c>
      <c r="AQ10" s="74">
        <f t="shared" ref="AQ10:AR12" si="2">5.22222222222222*25</f>
        <v>130.55555555555549</v>
      </c>
      <c r="AR10" s="74">
        <f t="shared" si="2"/>
        <v>130.55555555555549</v>
      </c>
      <c r="AS10" s="75">
        <f>5.22222222222222*10</f>
        <v>52.2222222222222</v>
      </c>
    </row>
    <row r="11" spans="1:45" s="20" customFormat="1" ht="78.75">
      <c r="A11" s="71" t="s">
        <v>86</v>
      </c>
      <c r="B11" s="7" t="s">
        <v>34</v>
      </c>
      <c r="C11" s="7">
        <v>100</v>
      </c>
      <c r="D11" s="7">
        <v>10</v>
      </c>
      <c r="E11" s="7">
        <v>40</v>
      </c>
      <c r="F11" s="7">
        <v>4</v>
      </c>
      <c r="G11" s="7">
        <v>4</v>
      </c>
      <c r="H11" s="7">
        <v>7</v>
      </c>
      <c r="I11" s="7">
        <v>3</v>
      </c>
      <c r="J11" s="7" t="s">
        <v>46</v>
      </c>
      <c r="K11" s="10" t="s">
        <v>86</v>
      </c>
      <c r="L11" s="10" t="s">
        <v>86</v>
      </c>
      <c r="M11" s="7" t="s">
        <v>47</v>
      </c>
      <c r="N11" s="7" t="s">
        <v>35</v>
      </c>
      <c r="O11" s="7" t="s">
        <v>60</v>
      </c>
      <c r="P11" s="7" t="s">
        <v>48</v>
      </c>
      <c r="Q11" s="7" t="s">
        <v>49</v>
      </c>
      <c r="R11" s="7" t="s">
        <v>48</v>
      </c>
      <c r="S11" s="7" t="s">
        <v>49</v>
      </c>
      <c r="T11" s="72" t="s">
        <v>35</v>
      </c>
      <c r="U11" s="7" t="s">
        <v>40</v>
      </c>
      <c r="V11" s="7" t="s">
        <v>86</v>
      </c>
      <c r="W11" s="7" t="s">
        <v>35</v>
      </c>
      <c r="X11" s="7" t="s">
        <v>48</v>
      </c>
      <c r="Y11" s="7" t="s">
        <v>49</v>
      </c>
      <c r="Z11" s="7" t="s">
        <v>15</v>
      </c>
      <c r="AA11" s="7" t="s">
        <v>61</v>
      </c>
      <c r="AB11" s="7" t="s">
        <v>80</v>
      </c>
      <c r="AC11" s="7">
        <v>2</v>
      </c>
      <c r="AD11" s="7">
        <v>1</v>
      </c>
      <c r="AE11" s="7">
        <v>0.5</v>
      </c>
      <c r="AF11" s="7" t="s">
        <v>81</v>
      </c>
      <c r="AG11" s="7"/>
      <c r="AH11" s="7">
        <f>(C11-(H11*2))/2</f>
        <v>43</v>
      </c>
      <c r="AI11" s="7">
        <v>25</v>
      </c>
      <c r="AJ11" s="7">
        <v>1</v>
      </c>
      <c r="AK11" s="7">
        <v>20</v>
      </c>
      <c r="AL11" s="7">
        <v>10</v>
      </c>
      <c r="AM11" s="74">
        <f>((C11-(I11*2))*1.5+(AK11*2)+((AC11+AE11+AD11)*2)*AJ11)/36</f>
        <v>5.2222222222222223</v>
      </c>
      <c r="AN11" s="74">
        <f>((C11-(I11*2))*1.5+(AK11*2)+((AC11+AE11+AD11)*2)*AJ11)/36</f>
        <v>5.2222222222222223</v>
      </c>
      <c r="AO11" s="74">
        <f>(((C11-H11*2)*1.5)+(AL11+AC11)*2)*AJ11/36</f>
        <v>4.25</v>
      </c>
      <c r="AP11" s="74">
        <f t="shared" si="1"/>
        <v>35</v>
      </c>
      <c r="AQ11" s="74">
        <f t="shared" si="2"/>
        <v>130.55555555555549</v>
      </c>
      <c r="AR11" s="74">
        <f t="shared" si="2"/>
        <v>130.55555555555549</v>
      </c>
      <c r="AS11" s="75">
        <f>5.22222222222222*10</f>
        <v>52.2222222222222</v>
      </c>
    </row>
    <row r="12" spans="1:45" s="20" customFormat="1" ht="78.75">
      <c r="A12" s="71" t="s">
        <v>87</v>
      </c>
      <c r="B12" s="7" t="s">
        <v>34</v>
      </c>
      <c r="C12" s="7">
        <v>100</v>
      </c>
      <c r="D12" s="7">
        <v>10</v>
      </c>
      <c r="E12" s="7">
        <v>40</v>
      </c>
      <c r="F12" s="7">
        <v>4</v>
      </c>
      <c r="G12" s="7">
        <v>4</v>
      </c>
      <c r="H12" s="7">
        <v>7</v>
      </c>
      <c r="I12" s="7">
        <v>3</v>
      </c>
      <c r="J12" s="7" t="s">
        <v>46</v>
      </c>
      <c r="K12" s="10" t="s">
        <v>87</v>
      </c>
      <c r="L12" s="10" t="s">
        <v>87</v>
      </c>
      <c r="M12" s="7" t="s">
        <v>47</v>
      </c>
      <c r="N12" s="7" t="s">
        <v>35</v>
      </c>
      <c r="O12" s="7" t="s">
        <v>60</v>
      </c>
      <c r="P12" s="7" t="s">
        <v>48</v>
      </c>
      <c r="Q12" s="7" t="s">
        <v>49</v>
      </c>
      <c r="R12" s="7" t="s">
        <v>48</v>
      </c>
      <c r="S12" s="7" t="s">
        <v>49</v>
      </c>
      <c r="T12" s="72" t="s">
        <v>35</v>
      </c>
      <c r="U12" s="7" t="s">
        <v>40</v>
      </c>
      <c r="V12" s="7" t="s">
        <v>87</v>
      </c>
      <c r="W12" s="7" t="s">
        <v>35</v>
      </c>
      <c r="X12" s="7" t="s">
        <v>48</v>
      </c>
      <c r="Y12" s="7" t="s">
        <v>49</v>
      </c>
      <c r="Z12" s="7" t="s">
        <v>15</v>
      </c>
      <c r="AA12" s="7" t="s">
        <v>61</v>
      </c>
      <c r="AB12" s="7" t="s">
        <v>80</v>
      </c>
      <c r="AC12" s="7">
        <v>2</v>
      </c>
      <c r="AD12" s="7">
        <v>1</v>
      </c>
      <c r="AE12" s="7">
        <v>0.5</v>
      </c>
      <c r="AF12" s="7" t="s">
        <v>81</v>
      </c>
      <c r="AG12" s="7"/>
      <c r="AH12" s="7">
        <f>(C12-(H12*2))/2</f>
        <v>43</v>
      </c>
      <c r="AI12" s="7">
        <v>25</v>
      </c>
      <c r="AJ12" s="7">
        <v>1</v>
      </c>
      <c r="AK12" s="7">
        <v>20</v>
      </c>
      <c r="AL12" s="7">
        <v>10</v>
      </c>
      <c r="AM12" s="74">
        <f>((C12-(I12*2))*1.5+(AK12*2)+((AC12+AE12+AD12)*2)*AJ12)/36</f>
        <v>5.2222222222222223</v>
      </c>
      <c r="AN12" s="74">
        <f>((C12-(I12*2))*1.5+(AK12*2)+((AC12+AE12+AD12)*2)*AJ12)/36</f>
        <v>5.2222222222222223</v>
      </c>
      <c r="AO12" s="74">
        <f>(((C12-H12*2)*1.5)+(AL12+AC12)*2)*AJ12/36</f>
        <v>4.25</v>
      </c>
      <c r="AP12" s="7">
        <f t="shared" si="1"/>
        <v>35</v>
      </c>
      <c r="AQ12" s="7">
        <f t="shared" si="2"/>
        <v>130.55555555555549</v>
      </c>
      <c r="AR12" s="7">
        <f t="shared" si="2"/>
        <v>130.55555555555549</v>
      </c>
      <c r="AS12" s="76">
        <f>5.22222222222222*10</f>
        <v>52.2222222222222</v>
      </c>
    </row>
    <row r="13" spans="1:45" s="20" customFormat="1" ht="33.75">
      <c r="A13" s="71" t="s">
        <v>88</v>
      </c>
      <c r="B13" s="7" t="s">
        <v>34</v>
      </c>
      <c r="C13" s="7">
        <v>60</v>
      </c>
      <c r="D13" s="7">
        <v>4</v>
      </c>
      <c r="E13" s="7">
        <v>40</v>
      </c>
      <c r="F13" s="7">
        <v>7</v>
      </c>
      <c r="G13" s="7">
        <v>7</v>
      </c>
      <c r="H13" s="7">
        <v>7</v>
      </c>
      <c r="I13" s="7">
        <v>0</v>
      </c>
      <c r="J13" s="7" t="s">
        <v>46</v>
      </c>
      <c r="K13" s="10"/>
      <c r="L13" s="10"/>
      <c r="M13" s="7" t="s">
        <v>47</v>
      </c>
      <c r="N13" s="7" t="s">
        <v>43</v>
      </c>
      <c r="O13" s="7"/>
      <c r="P13" s="7" t="s">
        <v>48</v>
      </c>
      <c r="Q13" s="7" t="s">
        <v>49</v>
      </c>
      <c r="R13" s="7"/>
      <c r="S13" s="7"/>
      <c r="T13" s="72" t="s">
        <v>35</v>
      </c>
      <c r="U13" s="7" t="s">
        <v>40</v>
      </c>
      <c r="V13" s="7"/>
      <c r="W13" s="7" t="s">
        <v>43</v>
      </c>
      <c r="X13" s="7"/>
      <c r="Y13" s="7"/>
      <c r="Z13" s="7" t="s">
        <v>15</v>
      </c>
      <c r="AA13" s="7"/>
      <c r="AB13" s="7" t="s">
        <v>80</v>
      </c>
      <c r="AC13" s="7">
        <v>2</v>
      </c>
      <c r="AD13" s="7">
        <v>1</v>
      </c>
      <c r="AE13" s="7">
        <v>0.5</v>
      </c>
      <c r="AF13" s="7" t="s">
        <v>81</v>
      </c>
      <c r="AG13" s="7"/>
      <c r="AH13" s="7">
        <f>(C13-(H13*2))/2</f>
        <v>23</v>
      </c>
      <c r="AI13" s="7">
        <v>25</v>
      </c>
      <c r="AJ13" s="7">
        <v>1</v>
      </c>
      <c r="AK13" s="7">
        <v>20</v>
      </c>
      <c r="AL13" s="7">
        <v>10</v>
      </c>
      <c r="AM13" s="74">
        <f>ROUND(((C13-(I13*2))*1.5+(AK13*2)+((AC13+AE13+AD13)*2)*AJ13)/36*2,4)</f>
        <v>7.6111000000000004</v>
      </c>
      <c r="AN13" s="74"/>
      <c r="AO13" s="74"/>
      <c r="AP13" s="7">
        <f t="shared" si="1"/>
        <v>35</v>
      </c>
      <c r="AQ13" s="7">
        <f>7.6111*25</f>
        <v>190.2775</v>
      </c>
      <c r="AR13" s="7"/>
      <c r="AS13" s="76"/>
    </row>
    <row r="14" spans="1:45" s="20" customFormat="1" ht="27" customHeight="1">
      <c r="A14" s="71" t="s">
        <v>136</v>
      </c>
      <c r="B14" s="7" t="s">
        <v>137</v>
      </c>
      <c r="C14" s="7">
        <v>80</v>
      </c>
      <c r="D14" s="7">
        <v>10</v>
      </c>
      <c r="E14" s="7">
        <v>100</v>
      </c>
      <c r="F14" s="7">
        <v>4</v>
      </c>
      <c r="G14" s="7">
        <v>4</v>
      </c>
      <c r="H14" s="7">
        <v>7</v>
      </c>
      <c r="I14" s="7">
        <v>3</v>
      </c>
      <c r="J14" s="7" t="s">
        <v>138</v>
      </c>
      <c r="K14" s="10"/>
      <c r="L14" s="10"/>
      <c r="M14" s="7" t="s">
        <v>47</v>
      </c>
      <c r="N14" s="7" t="s">
        <v>43</v>
      </c>
      <c r="O14" s="7"/>
      <c r="P14" s="7" t="s">
        <v>48</v>
      </c>
      <c r="Q14" s="7" t="s">
        <v>49</v>
      </c>
      <c r="R14" s="7"/>
      <c r="S14" s="7"/>
      <c r="T14" s="72" t="s">
        <v>35</v>
      </c>
      <c r="U14" s="7" t="s">
        <v>40</v>
      </c>
      <c r="V14" s="7"/>
      <c r="W14" s="7" t="s">
        <v>43</v>
      </c>
      <c r="X14" s="7"/>
      <c r="Y14" s="7"/>
      <c r="Z14" s="7" t="s">
        <v>15</v>
      </c>
      <c r="AA14" s="7"/>
      <c r="AB14" s="7" t="s">
        <v>80</v>
      </c>
      <c r="AC14" s="7">
        <v>2</v>
      </c>
      <c r="AD14" s="7">
        <v>1</v>
      </c>
      <c r="AE14" s="7">
        <v>0.5</v>
      </c>
      <c r="AF14" s="7" t="s">
        <v>81</v>
      </c>
      <c r="AG14" s="7"/>
      <c r="AH14" s="7">
        <f>(C14-(H14*2))/2</f>
        <v>33</v>
      </c>
      <c r="AI14" s="7"/>
      <c r="AJ14" s="7"/>
      <c r="AK14" s="7"/>
      <c r="AL14" s="7"/>
      <c r="AM14" s="74"/>
      <c r="AN14" s="74"/>
      <c r="AO14" s="74"/>
      <c r="AP14" s="7">
        <f t="shared" si="1"/>
        <v>0</v>
      </c>
      <c r="AQ14" s="7"/>
      <c r="AR14" s="7"/>
      <c r="AS14" s="76"/>
    </row>
    <row r="15" spans="1:45" s="20" customFormat="1">
      <c r="A15" s="71"/>
      <c r="B15" s="7"/>
      <c r="C15" s="7"/>
      <c r="D15" s="7"/>
      <c r="E15" s="7"/>
      <c r="F15" s="7"/>
      <c r="G15" s="7"/>
      <c r="H15" s="7"/>
      <c r="I15" s="7"/>
      <c r="J15" s="7"/>
      <c r="K15" s="10"/>
      <c r="L15" s="10"/>
      <c r="M15" s="7"/>
      <c r="N15" s="7"/>
      <c r="O15" s="7"/>
      <c r="P15" s="7"/>
      <c r="Q15" s="7"/>
      <c r="R15" s="7"/>
      <c r="S15" s="7"/>
      <c r="T15" s="72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4"/>
      <c r="AN15" s="74"/>
      <c r="AO15" s="74"/>
      <c r="AP15" s="7"/>
      <c r="AQ15" s="7"/>
      <c r="AR15" s="7"/>
      <c r="AS15" s="76"/>
    </row>
    <row r="16" spans="1:45" s="20" customFormat="1">
      <c r="A16" s="71"/>
      <c r="B16" s="7"/>
      <c r="C16" s="7"/>
      <c r="D16" s="7"/>
      <c r="E16" s="7"/>
      <c r="F16" s="7"/>
      <c r="G16" s="7"/>
      <c r="H16" s="7"/>
      <c r="I16" s="7"/>
      <c r="J16" s="7"/>
      <c r="K16" s="10"/>
      <c r="L16" s="10"/>
      <c r="M16" s="7"/>
      <c r="N16" s="7"/>
      <c r="O16" s="7"/>
      <c r="P16" s="7"/>
      <c r="Q16" s="7"/>
      <c r="R16" s="7"/>
      <c r="S16" s="7"/>
      <c r="T16" s="72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4"/>
      <c r="AN16" s="74"/>
      <c r="AO16" s="81"/>
      <c r="AP16" s="7"/>
      <c r="AQ16" s="7"/>
      <c r="AR16" s="7"/>
      <c r="AS16" s="76"/>
    </row>
    <row r="17" spans="1:45" s="20" customFormat="1">
      <c r="A17" s="71"/>
      <c r="B17" s="7"/>
      <c r="C17" s="7"/>
      <c r="D17" s="7"/>
      <c r="E17" s="7"/>
      <c r="F17" s="7"/>
      <c r="G17" s="7"/>
      <c r="H17" s="7"/>
      <c r="I17" s="7"/>
      <c r="J17" s="7"/>
      <c r="K17" s="10"/>
      <c r="L17" s="10"/>
      <c r="M17" s="7"/>
      <c r="N17" s="7"/>
      <c r="O17" s="7"/>
      <c r="P17" s="7"/>
      <c r="Q17" s="7"/>
      <c r="R17" s="7"/>
      <c r="S17" s="7"/>
      <c r="T17" s="72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4"/>
      <c r="AN17" s="74"/>
      <c r="AO17" s="74"/>
      <c r="AP17" s="7"/>
      <c r="AQ17" s="7"/>
      <c r="AR17" s="7"/>
      <c r="AS17" s="76"/>
    </row>
    <row r="18" spans="1:45" s="20" customFormat="1">
      <c r="A18" s="71"/>
      <c r="B18" s="7"/>
      <c r="C18" s="7"/>
      <c r="D18" s="7"/>
      <c r="E18" s="7"/>
      <c r="F18" s="7"/>
      <c r="G18" s="7"/>
      <c r="H18" s="7"/>
      <c r="I18" s="7"/>
      <c r="J18" s="7"/>
      <c r="K18" s="10"/>
      <c r="L18" s="10"/>
      <c r="M18" s="7"/>
      <c r="N18" s="7"/>
      <c r="O18" s="7"/>
      <c r="P18" s="7"/>
      <c r="Q18" s="7"/>
      <c r="R18" s="7"/>
      <c r="S18" s="7"/>
      <c r="T18" s="72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4"/>
      <c r="AN18" s="74"/>
      <c r="AO18" s="74"/>
      <c r="AP18" s="7"/>
      <c r="AQ18" s="7"/>
      <c r="AR18" s="7"/>
      <c r="AS18" s="76"/>
    </row>
    <row r="19" spans="1:45" s="20" customFormat="1">
      <c r="A19" s="71"/>
      <c r="B19" s="7"/>
      <c r="C19" s="7"/>
      <c r="D19" s="7"/>
      <c r="E19" s="7"/>
      <c r="F19" s="7"/>
      <c r="G19" s="7"/>
      <c r="H19" s="7"/>
      <c r="I19" s="7"/>
      <c r="J19" s="7"/>
      <c r="K19" s="10"/>
      <c r="L19" s="10"/>
      <c r="M19" s="7"/>
      <c r="N19" s="7"/>
      <c r="O19" s="7"/>
      <c r="P19" s="7"/>
      <c r="Q19" s="7"/>
      <c r="R19" s="7"/>
      <c r="S19" s="7"/>
      <c r="T19" s="72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4"/>
      <c r="AN19" s="74"/>
      <c r="AO19" s="74"/>
      <c r="AP19" s="7"/>
      <c r="AQ19" s="7"/>
      <c r="AR19" s="7"/>
      <c r="AS19" s="76"/>
    </row>
    <row r="20" spans="1:45" s="20" customFormat="1">
      <c r="A20" s="8"/>
      <c r="B20" s="9"/>
      <c r="C20" s="6"/>
      <c r="D20" s="6"/>
      <c r="E20" s="6"/>
      <c r="F20" s="6"/>
      <c r="G20" s="6"/>
      <c r="H20" s="6"/>
      <c r="I20" s="6"/>
      <c r="J20" s="9"/>
      <c r="K20" s="10"/>
      <c r="L20" s="10"/>
      <c r="M20" s="9"/>
      <c r="N20" s="6"/>
      <c r="O20" s="6"/>
      <c r="P20" s="6"/>
      <c r="Q20" s="6"/>
      <c r="R20" s="9"/>
      <c r="S20" s="9"/>
      <c r="T20" s="29"/>
      <c r="U20" s="9"/>
      <c r="V20" s="9"/>
      <c r="W20" s="6"/>
      <c r="X20" s="9"/>
      <c r="Y20" s="9"/>
      <c r="Z20" s="9"/>
      <c r="AA20" s="9"/>
      <c r="AB20" s="6"/>
      <c r="AC20" s="6"/>
      <c r="AD20" s="9"/>
      <c r="AE20" s="6"/>
      <c r="AF20" s="6"/>
      <c r="AG20" s="6"/>
      <c r="AH20" s="6"/>
      <c r="AI20" s="6"/>
      <c r="AJ20" s="9"/>
      <c r="AK20" s="6"/>
      <c r="AL20" s="9"/>
      <c r="AM20" s="77"/>
      <c r="AN20" s="77"/>
      <c r="AO20" s="9"/>
      <c r="AP20" s="82"/>
      <c r="AQ20" s="7"/>
      <c r="AR20" s="7"/>
      <c r="AS20" s="76"/>
    </row>
    <row r="21" spans="1:45" s="20" customFormat="1" ht="15.75" thickBot="1">
      <c r="A21" s="11"/>
      <c r="B21" s="12"/>
      <c r="C21" s="73"/>
      <c r="D21" s="73"/>
      <c r="E21" s="73"/>
      <c r="F21" s="73"/>
      <c r="G21" s="73"/>
      <c r="H21" s="73"/>
      <c r="I21" s="73"/>
      <c r="J21" s="12"/>
      <c r="K21" s="13"/>
      <c r="L21" s="13"/>
      <c r="M21" s="12"/>
      <c r="N21" s="73"/>
      <c r="O21" s="73"/>
      <c r="P21" s="73"/>
      <c r="Q21" s="73"/>
      <c r="R21" s="12"/>
      <c r="S21" s="12"/>
      <c r="T21" s="64"/>
      <c r="U21" s="12"/>
      <c r="V21" s="12"/>
      <c r="W21" s="73"/>
      <c r="X21" s="12"/>
      <c r="Y21" s="12"/>
      <c r="Z21" s="12"/>
      <c r="AA21" s="12"/>
      <c r="AB21" s="73"/>
      <c r="AC21" s="73"/>
      <c r="AD21" s="12"/>
      <c r="AE21" s="73"/>
      <c r="AF21" s="73"/>
      <c r="AG21" s="73"/>
      <c r="AH21" s="73"/>
      <c r="AI21" s="73"/>
      <c r="AJ21" s="12"/>
      <c r="AK21" s="73"/>
      <c r="AL21" s="12"/>
      <c r="AM21" s="12"/>
      <c r="AN21" s="12"/>
      <c r="AO21" s="78"/>
      <c r="AP21" s="79"/>
      <c r="AQ21" s="79"/>
      <c r="AR21" s="79"/>
      <c r="AS21" s="80"/>
    </row>
  </sheetData>
  <mergeCells count="4">
    <mergeCell ref="A2:C2"/>
    <mergeCell ref="A1:C1"/>
    <mergeCell ref="H1:J1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152400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M1" sqref="M1"/>
    </sheetView>
  </sheetViews>
  <sheetFormatPr defaultColWidth="8.85546875" defaultRowHeight="15"/>
  <cols>
    <col min="1" max="1" width="12.42578125" bestFit="1" customWidth="1"/>
    <col min="2" max="2" width="11.42578125" bestFit="1" customWidth="1"/>
    <col min="3" max="3" width="24.42578125" bestFit="1" customWidth="1"/>
    <col min="5" max="5" width="15.42578125" bestFit="1" customWidth="1"/>
  </cols>
  <sheetData>
    <row r="1" spans="1:14">
      <c r="A1" t="s">
        <v>46</v>
      </c>
      <c r="B1" t="s">
        <v>47</v>
      </c>
      <c r="C1" t="s">
        <v>60</v>
      </c>
      <c r="D1" t="s">
        <v>34</v>
      </c>
      <c r="E1" t="s">
        <v>61</v>
      </c>
      <c r="F1" t="s">
        <v>40</v>
      </c>
      <c r="G1">
        <v>1</v>
      </c>
      <c r="H1">
        <v>0.5</v>
      </c>
      <c r="I1" s="2" t="s">
        <v>48</v>
      </c>
      <c r="J1" s="2" t="s">
        <v>49</v>
      </c>
      <c r="K1" s="2" t="s">
        <v>48</v>
      </c>
      <c r="L1" s="2" t="s">
        <v>49</v>
      </c>
      <c r="M1" t="s">
        <v>183</v>
      </c>
      <c r="N1" s="153">
        <v>3.5</v>
      </c>
    </row>
    <row r="2" spans="1:14" ht="19.5" customHeight="1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>
        <v>2</v>
      </c>
      <c r="H2">
        <v>1</v>
      </c>
      <c r="I2" s="19" t="s">
        <v>50</v>
      </c>
      <c r="J2" s="19" t="s">
        <v>51</v>
      </c>
      <c r="K2" s="2" t="s">
        <v>79</v>
      </c>
      <c r="L2" s="2" t="s">
        <v>51</v>
      </c>
      <c r="M2" t="s">
        <v>184</v>
      </c>
      <c r="N2" s="153">
        <v>5.5</v>
      </c>
    </row>
    <row r="3" spans="1:14">
      <c r="A3" t="s">
        <v>68</v>
      </c>
      <c r="D3" t="s">
        <v>69</v>
      </c>
      <c r="E3" t="s">
        <v>70</v>
      </c>
      <c r="G3">
        <v>3</v>
      </c>
      <c r="H3">
        <v>1.5</v>
      </c>
      <c r="I3" s="2" t="s">
        <v>38</v>
      </c>
      <c r="J3" s="2" t="s">
        <v>39</v>
      </c>
      <c r="M3" t="s">
        <v>185</v>
      </c>
    </row>
    <row r="4" spans="1:14">
      <c r="A4" t="s">
        <v>71</v>
      </c>
      <c r="D4" t="s">
        <v>72</v>
      </c>
      <c r="G4">
        <v>4</v>
      </c>
      <c r="H4">
        <v>2</v>
      </c>
      <c r="I4" s="2" t="s">
        <v>75</v>
      </c>
      <c r="J4" s="2" t="s">
        <v>45</v>
      </c>
      <c r="M4" t="s">
        <v>186</v>
      </c>
    </row>
    <row r="5" spans="1:14">
      <c r="A5" t="s">
        <v>73</v>
      </c>
      <c r="G5">
        <v>5</v>
      </c>
      <c r="H5">
        <v>2.5</v>
      </c>
      <c r="I5" s="2" t="s">
        <v>36</v>
      </c>
      <c r="J5" s="2" t="s">
        <v>37</v>
      </c>
      <c r="M5" t="s">
        <v>187</v>
      </c>
    </row>
    <row r="6" spans="1:14">
      <c r="A6" t="s">
        <v>44</v>
      </c>
      <c r="G6">
        <v>6</v>
      </c>
      <c r="H6">
        <v>3</v>
      </c>
      <c r="I6" s="2" t="s">
        <v>76</v>
      </c>
      <c r="J6" s="2" t="s">
        <v>77</v>
      </c>
      <c r="M6" t="s">
        <v>188</v>
      </c>
    </row>
    <row r="7" spans="1:14" ht="30">
      <c r="A7" t="s">
        <v>74</v>
      </c>
      <c r="I7" s="2" t="s">
        <v>41</v>
      </c>
      <c r="J7" s="2" t="s">
        <v>78</v>
      </c>
      <c r="M7" t="s">
        <v>189</v>
      </c>
    </row>
    <row r="8" spans="1:14">
      <c r="M8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Y42"/>
  <sheetViews>
    <sheetView zoomScale="85" zoomScaleNormal="85" zoomScalePageLayoutView="85" workbookViewId="0">
      <selection activeCell="N4" sqref="N4"/>
    </sheetView>
  </sheetViews>
  <sheetFormatPr defaultColWidth="8.85546875" defaultRowHeight="15"/>
  <sheetData>
    <row r="1" spans="1:77" ht="15.75" thickBo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2"/>
      <c r="U1" s="18"/>
      <c r="V1" s="18"/>
      <c r="W1" s="18"/>
      <c r="X1" s="18"/>
      <c r="Y1" s="18"/>
      <c r="Z1" s="18"/>
      <c r="AA1" s="23"/>
      <c r="AB1" s="23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21"/>
      <c r="AN1" s="21"/>
      <c r="AO1" s="21"/>
      <c r="AP1" s="18"/>
      <c r="AQ1" s="23"/>
      <c r="AR1" s="23"/>
      <c r="AS1" s="23"/>
      <c r="AT1" s="23"/>
      <c r="AU1" s="23"/>
      <c r="AV1" s="23"/>
      <c r="AW1" s="23"/>
      <c r="AX1" s="23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21"/>
      <c r="BK1" s="21"/>
      <c r="BL1" s="21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</row>
    <row r="2" spans="1:77" ht="15.75" thickBot="1">
      <c r="A2" s="145" t="s">
        <v>89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7"/>
      <c r="X2" s="23"/>
      <c r="Y2" s="145" t="s">
        <v>90</v>
      </c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24"/>
      <c r="AV2" s="23"/>
      <c r="AW2" s="148" t="s">
        <v>91</v>
      </c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50"/>
      <c r="BT2" s="18"/>
      <c r="BU2" s="18"/>
      <c r="BV2" s="18"/>
      <c r="BW2" s="18"/>
      <c r="BX2" s="18"/>
      <c r="BY2" s="18"/>
    </row>
    <row r="3" spans="1:77" ht="150">
      <c r="A3" s="25" t="s">
        <v>92</v>
      </c>
      <c r="B3" s="26" t="s">
        <v>93</v>
      </c>
      <c r="C3" s="26" t="s">
        <v>94</v>
      </c>
      <c r="D3" s="26" t="s">
        <v>95</v>
      </c>
      <c r="E3" s="27" t="s">
        <v>96</v>
      </c>
      <c r="F3" s="27" t="s">
        <v>97</v>
      </c>
      <c r="G3" s="27" t="s">
        <v>98</v>
      </c>
      <c r="H3" s="27" t="s">
        <v>99</v>
      </c>
      <c r="I3" s="27" t="s">
        <v>100</v>
      </c>
      <c r="J3" s="27" t="s">
        <v>101</v>
      </c>
      <c r="K3" s="28" t="s">
        <v>102</v>
      </c>
      <c r="L3" s="27" t="s">
        <v>103</v>
      </c>
      <c r="M3" s="27" t="s">
        <v>104</v>
      </c>
      <c r="N3" s="138" t="s">
        <v>180</v>
      </c>
      <c r="O3" s="138" t="s">
        <v>181</v>
      </c>
      <c r="P3" s="138" t="s">
        <v>182</v>
      </c>
      <c r="Q3" s="139" t="s">
        <v>105</v>
      </c>
      <c r="R3" s="26" t="s">
        <v>106</v>
      </c>
      <c r="S3" s="26" t="s">
        <v>107</v>
      </c>
      <c r="T3" s="29" t="s">
        <v>108</v>
      </c>
      <c r="U3" s="29" t="s">
        <v>109</v>
      </c>
      <c r="V3" s="29" t="s">
        <v>110</v>
      </c>
      <c r="W3" s="30" t="s">
        <v>111</v>
      </c>
      <c r="X3" s="18"/>
      <c r="Y3" s="25" t="s">
        <v>112</v>
      </c>
      <c r="Z3" s="26" t="s">
        <v>93</v>
      </c>
      <c r="AA3" s="26" t="s">
        <v>94</v>
      </c>
      <c r="AB3" s="26" t="s">
        <v>95</v>
      </c>
      <c r="AC3" s="27" t="s">
        <v>113</v>
      </c>
      <c r="AD3" s="27" t="s">
        <v>97</v>
      </c>
      <c r="AE3" s="27" t="s">
        <v>98</v>
      </c>
      <c r="AF3" s="27" t="s">
        <v>114</v>
      </c>
      <c r="AG3" s="27" t="s">
        <v>115</v>
      </c>
      <c r="AH3" s="27" t="s">
        <v>101</v>
      </c>
      <c r="AI3" s="28" t="s">
        <v>102</v>
      </c>
      <c r="AJ3" s="27" t="s">
        <v>116</v>
      </c>
      <c r="AK3" s="27" t="s">
        <v>105</v>
      </c>
      <c r="AL3" s="27" t="s">
        <v>104</v>
      </c>
      <c r="AM3" s="138" t="s">
        <v>180</v>
      </c>
      <c r="AN3" s="138" t="s">
        <v>181</v>
      </c>
      <c r="AO3" s="138" t="s">
        <v>182</v>
      </c>
      <c r="AP3" s="26" t="s">
        <v>117</v>
      </c>
      <c r="AQ3" s="26" t="s">
        <v>107</v>
      </c>
      <c r="AR3" s="29" t="s">
        <v>108</v>
      </c>
      <c r="AS3" s="29" t="s">
        <v>109</v>
      </c>
      <c r="AT3" s="29" t="s">
        <v>110</v>
      </c>
      <c r="AU3" s="30" t="s">
        <v>111</v>
      </c>
      <c r="AV3" s="18"/>
      <c r="AW3" s="25" t="s">
        <v>112</v>
      </c>
      <c r="AX3" s="26" t="s">
        <v>93</v>
      </c>
      <c r="AY3" s="26" t="s">
        <v>94</v>
      </c>
      <c r="AZ3" s="26" t="s">
        <v>95</v>
      </c>
      <c r="BA3" s="27" t="s">
        <v>113</v>
      </c>
      <c r="BB3" s="27" t="s">
        <v>97</v>
      </c>
      <c r="BC3" s="27" t="s">
        <v>98</v>
      </c>
      <c r="BD3" s="27" t="s">
        <v>114</v>
      </c>
      <c r="BE3" s="27" t="s">
        <v>115</v>
      </c>
      <c r="BF3" s="27" t="s">
        <v>101</v>
      </c>
      <c r="BG3" s="28" t="s">
        <v>102</v>
      </c>
      <c r="BH3" s="27" t="s">
        <v>116</v>
      </c>
      <c r="BI3" s="27" t="s">
        <v>104</v>
      </c>
      <c r="BJ3" s="138" t="s">
        <v>180</v>
      </c>
      <c r="BK3" s="138" t="s">
        <v>181</v>
      </c>
      <c r="BL3" s="138" t="s">
        <v>182</v>
      </c>
      <c r="BM3" s="27" t="s">
        <v>105</v>
      </c>
      <c r="BN3" s="26" t="s">
        <v>106</v>
      </c>
      <c r="BO3" s="26" t="s">
        <v>107</v>
      </c>
      <c r="BP3" s="29" t="s">
        <v>108</v>
      </c>
      <c r="BQ3" s="29" t="s">
        <v>109</v>
      </c>
      <c r="BR3" s="29" t="s">
        <v>110</v>
      </c>
      <c r="BS3" s="30" t="s">
        <v>111</v>
      </c>
      <c r="BT3" s="18"/>
      <c r="BU3" s="18"/>
      <c r="BV3" s="18"/>
      <c r="BW3" s="18"/>
      <c r="BX3" s="18"/>
      <c r="BY3" s="18"/>
    </row>
    <row r="4" spans="1:77" ht="72" customHeight="1">
      <c r="A4" s="25" t="s">
        <v>118</v>
      </c>
      <c r="B4" s="26" t="s">
        <v>119</v>
      </c>
      <c r="C4" s="26">
        <v>60</v>
      </c>
      <c r="D4" s="26">
        <v>120</v>
      </c>
      <c r="E4" s="31">
        <v>10</v>
      </c>
      <c r="F4" s="31">
        <v>40</v>
      </c>
      <c r="G4" s="31">
        <v>96</v>
      </c>
      <c r="H4" s="31">
        <v>4</v>
      </c>
      <c r="I4" s="31">
        <v>4</v>
      </c>
      <c r="J4" s="31">
        <v>7</v>
      </c>
      <c r="K4" s="31">
        <f>J4-I4</f>
        <v>3</v>
      </c>
      <c r="L4" s="31">
        <v>1.5</v>
      </c>
      <c r="M4" s="31" t="s">
        <v>120</v>
      </c>
      <c r="N4" s="31">
        <v>0.1</v>
      </c>
      <c r="O4" s="31">
        <v>0.1</v>
      </c>
      <c r="P4" s="31">
        <v>0.2</v>
      </c>
      <c r="Q4" s="31">
        <v>1</v>
      </c>
      <c r="R4" s="26">
        <v>20</v>
      </c>
      <c r="S4" s="26">
        <v>10</v>
      </c>
      <c r="T4" s="26">
        <v>35</v>
      </c>
      <c r="U4" s="26" t="s">
        <v>121</v>
      </c>
      <c r="V4" s="26" t="s">
        <v>122</v>
      </c>
      <c r="W4" s="32" t="s">
        <v>123</v>
      </c>
      <c r="X4" s="33"/>
      <c r="Y4" s="25" t="s">
        <v>124</v>
      </c>
      <c r="Z4" s="26" t="s">
        <v>119</v>
      </c>
      <c r="AA4" s="26">
        <v>60</v>
      </c>
      <c r="AB4" s="26">
        <v>192</v>
      </c>
      <c r="AC4" s="31">
        <v>15</v>
      </c>
      <c r="AD4" s="34">
        <v>60</v>
      </c>
      <c r="AE4" s="34">
        <v>120</v>
      </c>
      <c r="AF4" s="31">
        <v>4</v>
      </c>
      <c r="AG4" s="31">
        <v>4</v>
      </c>
      <c r="AH4" s="31">
        <v>13</v>
      </c>
      <c r="AI4" s="31">
        <f>AH4-AG4</f>
        <v>9</v>
      </c>
      <c r="AJ4" s="31">
        <v>1.5</v>
      </c>
      <c r="AK4" s="35">
        <v>2</v>
      </c>
      <c r="AL4" s="31">
        <v>25</v>
      </c>
      <c r="AM4" s="31">
        <v>0.1</v>
      </c>
      <c r="AN4" s="31">
        <v>0.1</v>
      </c>
      <c r="AO4" s="31">
        <v>0.2</v>
      </c>
      <c r="AP4" s="26">
        <v>20</v>
      </c>
      <c r="AQ4" s="26">
        <v>10</v>
      </c>
      <c r="AR4" s="26">
        <v>17.5</v>
      </c>
      <c r="AS4" s="26" t="s">
        <v>121</v>
      </c>
      <c r="AT4" s="26" t="s">
        <v>122</v>
      </c>
      <c r="AU4" s="32" t="s">
        <v>123</v>
      </c>
      <c r="AV4" s="18"/>
      <c r="AW4" s="25" t="s">
        <v>125</v>
      </c>
      <c r="AX4" s="26" t="s">
        <v>119</v>
      </c>
      <c r="AY4" s="26">
        <v>96</v>
      </c>
      <c r="AZ4" s="26">
        <v>228</v>
      </c>
      <c r="BA4" s="31">
        <v>25</v>
      </c>
      <c r="BB4" s="31">
        <v>120</v>
      </c>
      <c r="BC4" s="31">
        <v>180</v>
      </c>
      <c r="BD4" s="31">
        <v>10</v>
      </c>
      <c r="BE4" s="31">
        <v>10</v>
      </c>
      <c r="BF4" s="31">
        <v>18</v>
      </c>
      <c r="BG4" s="31">
        <f>BF4-BE4</f>
        <v>8</v>
      </c>
      <c r="BH4" s="31">
        <v>1.5</v>
      </c>
      <c r="BI4" s="31">
        <v>30</v>
      </c>
      <c r="BJ4" s="31">
        <v>0.1</v>
      </c>
      <c r="BK4" s="31">
        <v>0.1</v>
      </c>
      <c r="BL4" s="31">
        <v>0.2</v>
      </c>
      <c r="BM4" s="35">
        <v>3</v>
      </c>
      <c r="BN4" s="26">
        <v>25</v>
      </c>
      <c r="BO4" s="36">
        <v>12</v>
      </c>
      <c r="BP4" s="26">
        <v>17.5</v>
      </c>
      <c r="BQ4" s="26" t="s">
        <v>121</v>
      </c>
      <c r="BR4" s="26" t="s">
        <v>122</v>
      </c>
      <c r="BS4" s="32" t="s">
        <v>123</v>
      </c>
      <c r="BT4" s="18"/>
      <c r="BU4" s="18"/>
      <c r="BV4" s="18"/>
      <c r="BW4" s="18"/>
      <c r="BX4" s="18"/>
      <c r="BY4" s="18"/>
    </row>
    <row r="5" spans="1:77" ht="89.25" customHeight="1">
      <c r="A5" s="25" t="s">
        <v>118</v>
      </c>
      <c r="B5" s="26" t="s">
        <v>119</v>
      </c>
      <c r="C5" s="26">
        <v>60</v>
      </c>
      <c r="D5" s="26">
        <v>120</v>
      </c>
      <c r="E5" s="31">
        <v>9</v>
      </c>
      <c r="F5" s="31">
        <v>40</v>
      </c>
      <c r="G5" s="31">
        <v>96</v>
      </c>
      <c r="H5" s="31">
        <v>5</v>
      </c>
      <c r="I5" s="31">
        <v>5</v>
      </c>
      <c r="J5" s="31">
        <v>7</v>
      </c>
      <c r="K5" s="31">
        <f t="shared" ref="K5:K10" si="0">J5-I5</f>
        <v>2</v>
      </c>
      <c r="L5" s="31">
        <v>1.5</v>
      </c>
      <c r="M5" s="31" t="s">
        <v>120</v>
      </c>
      <c r="N5" s="31">
        <v>0.1</v>
      </c>
      <c r="O5" s="31">
        <v>0.1</v>
      </c>
      <c r="P5" s="31">
        <v>0.2</v>
      </c>
      <c r="Q5" s="31">
        <v>1</v>
      </c>
      <c r="R5" s="26">
        <v>20</v>
      </c>
      <c r="S5" s="26">
        <v>10</v>
      </c>
      <c r="T5" s="26">
        <v>35</v>
      </c>
      <c r="U5" s="26" t="s">
        <v>121</v>
      </c>
      <c r="V5" s="26" t="s">
        <v>122</v>
      </c>
      <c r="W5" s="32" t="s">
        <v>123</v>
      </c>
      <c r="X5" s="37"/>
      <c r="Y5" s="25" t="s">
        <v>124</v>
      </c>
      <c r="Z5" s="26" t="s">
        <v>119</v>
      </c>
      <c r="AA5" s="26">
        <v>60</v>
      </c>
      <c r="AB5" s="26">
        <v>192</v>
      </c>
      <c r="AC5" s="31">
        <v>14</v>
      </c>
      <c r="AD5" s="31">
        <v>121</v>
      </c>
      <c r="AE5" s="26">
        <v>180</v>
      </c>
      <c r="AF5" s="31">
        <v>5</v>
      </c>
      <c r="AG5" s="31">
        <v>5</v>
      </c>
      <c r="AH5" s="31">
        <v>13</v>
      </c>
      <c r="AI5" s="31">
        <f>AH5-AG5</f>
        <v>8</v>
      </c>
      <c r="AJ5" s="31">
        <v>1.5</v>
      </c>
      <c r="AK5" s="35">
        <v>3</v>
      </c>
      <c r="AL5" s="31">
        <v>30</v>
      </c>
      <c r="AM5" s="31">
        <v>0.1</v>
      </c>
      <c r="AN5" s="31">
        <v>0.1</v>
      </c>
      <c r="AO5" s="31">
        <v>0.2</v>
      </c>
      <c r="AP5" s="26">
        <v>25</v>
      </c>
      <c r="AQ5" s="36">
        <v>12</v>
      </c>
      <c r="AR5" s="26">
        <v>17.5</v>
      </c>
      <c r="AS5" s="26" t="s">
        <v>121</v>
      </c>
      <c r="AT5" s="26" t="s">
        <v>122</v>
      </c>
      <c r="AU5" s="32" t="s">
        <v>123</v>
      </c>
      <c r="AV5" s="23"/>
      <c r="AW5" s="25" t="s">
        <v>125</v>
      </c>
      <c r="AX5" s="26" t="s">
        <v>119</v>
      </c>
      <c r="AY5" s="26">
        <v>96</v>
      </c>
      <c r="AZ5" s="26">
        <v>228</v>
      </c>
      <c r="BA5" s="31">
        <v>24</v>
      </c>
      <c r="BB5" s="31">
        <v>180</v>
      </c>
      <c r="BC5" s="31">
        <v>240</v>
      </c>
      <c r="BD5" s="31">
        <v>11</v>
      </c>
      <c r="BE5" s="31">
        <v>11</v>
      </c>
      <c r="BF5" s="31">
        <v>18</v>
      </c>
      <c r="BG5" s="31">
        <f t="shared" ref="BG5:BG18" si="1">BF5-BE5</f>
        <v>7</v>
      </c>
      <c r="BH5" s="31">
        <v>1.5</v>
      </c>
      <c r="BI5" s="31">
        <v>35</v>
      </c>
      <c r="BJ5" s="31">
        <v>0.1</v>
      </c>
      <c r="BK5" s="31">
        <v>0.1</v>
      </c>
      <c r="BL5" s="31">
        <v>0.2</v>
      </c>
      <c r="BM5" s="35">
        <v>3</v>
      </c>
      <c r="BN5" s="26">
        <v>30</v>
      </c>
      <c r="BO5" s="36">
        <v>15</v>
      </c>
      <c r="BP5" s="26">
        <v>17.5</v>
      </c>
      <c r="BQ5" s="26" t="s">
        <v>121</v>
      </c>
      <c r="BR5" s="26" t="s">
        <v>122</v>
      </c>
      <c r="BS5" s="32" t="s">
        <v>123</v>
      </c>
      <c r="BT5" s="18"/>
      <c r="BU5" s="18"/>
      <c r="BV5" s="18"/>
      <c r="BW5" s="18"/>
      <c r="BX5" s="18"/>
      <c r="BY5" s="18"/>
    </row>
    <row r="6" spans="1:77" ht="180">
      <c r="A6" s="25" t="s">
        <v>118</v>
      </c>
      <c r="B6" s="26" t="s">
        <v>119</v>
      </c>
      <c r="C6" s="26">
        <v>60</v>
      </c>
      <c r="D6" s="26">
        <v>120</v>
      </c>
      <c r="E6" s="31">
        <v>8</v>
      </c>
      <c r="F6" s="31">
        <v>40</v>
      </c>
      <c r="G6" s="31">
        <v>96</v>
      </c>
      <c r="H6" s="31">
        <v>6</v>
      </c>
      <c r="I6" s="31">
        <v>6</v>
      </c>
      <c r="J6" s="31">
        <v>7</v>
      </c>
      <c r="K6" s="31">
        <f t="shared" si="0"/>
        <v>1</v>
      </c>
      <c r="L6" s="31">
        <v>1.5</v>
      </c>
      <c r="M6" s="31" t="s">
        <v>120</v>
      </c>
      <c r="N6" s="31">
        <v>0.1</v>
      </c>
      <c r="O6" s="31">
        <v>0.1</v>
      </c>
      <c r="P6" s="31">
        <v>0.2</v>
      </c>
      <c r="Q6" s="31">
        <v>1</v>
      </c>
      <c r="R6" s="26">
        <v>20</v>
      </c>
      <c r="S6" s="26">
        <v>10</v>
      </c>
      <c r="T6" s="26">
        <v>35</v>
      </c>
      <c r="U6" s="26" t="s">
        <v>121</v>
      </c>
      <c r="V6" s="26" t="s">
        <v>122</v>
      </c>
      <c r="W6" s="32" t="s">
        <v>123</v>
      </c>
      <c r="X6" s="37"/>
      <c r="Y6" s="25" t="s">
        <v>124</v>
      </c>
      <c r="Z6" s="26" t="s">
        <v>119</v>
      </c>
      <c r="AA6" s="26">
        <v>60</v>
      </c>
      <c r="AB6" s="26">
        <v>192</v>
      </c>
      <c r="AC6" s="31">
        <v>13</v>
      </c>
      <c r="AD6" s="31">
        <v>181</v>
      </c>
      <c r="AE6" s="26">
        <v>300</v>
      </c>
      <c r="AF6" s="31">
        <v>6</v>
      </c>
      <c r="AG6" s="31">
        <v>6</v>
      </c>
      <c r="AH6" s="31">
        <v>13</v>
      </c>
      <c r="AI6" s="31">
        <f t="shared" ref="AI6:AI13" si="2">AH6-AG6</f>
        <v>7</v>
      </c>
      <c r="AJ6" s="31">
        <v>2</v>
      </c>
      <c r="AK6" s="35">
        <v>3</v>
      </c>
      <c r="AL6" s="31">
        <v>40</v>
      </c>
      <c r="AM6" s="31">
        <v>0.1</v>
      </c>
      <c r="AN6" s="31">
        <v>0.1</v>
      </c>
      <c r="AO6" s="31">
        <v>0.2</v>
      </c>
      <c r="AP6" s="26">
        <v>30</v>
      </c>
      <c r="AQ6" s="36">
        <v>15</v>
      </c>
      <c r="AR6" s="26">
        <v>17.5</v>
      </c>
      <c r="AS6" s="26" t="s">
        <v>121</v>
      </c>
      <c r="AT6" s="26" t="s">
        <v>122</v>
      </c>
      <c r="AU6" s="32" t="s">
        <v>123</v>
      </c>
      <c r="AV6" s="23"/>
      <c r="AW6" s="25" t="s">
        <v>125</v>
      </c>
      <c r="AX6" s="26" t="s">
        <v>119</v>
      </c>
      <c r="AY6" s="26">
        <v>96</v>
      </c>
      <c r="AZ6" s="26">
        <v>228</v>
      </c>
      <c r="BA6" s="31">
        <v>23</v>
      </c>
      <c r="BB6" s="31">
        <v>241</v>
      </c>
      <c r="BC6" s="31">
        <v>300</v>
      </c>
      <c r="BD6" s="31">
        <v>12</v>
      </c>
      <c r="BE6" s="31">
        <v>12</v>
      </c>
      <c r="BF6" s="31">
        <v>18</v>
      </c>
      <c r="BG6" s="31">
        <f t="shared" si="1"/>
        <v>6</v>
      </c>
      <c r="BH6" s="31">
        <v>2</v>
      </c>
      <c r="BI6" s="31">
        <v>40</v>
      </c>
      <c r="BJ6" s="31">
        <v>0.1</v>
      </c>
      <c r="BK6" s="31">
        <v>0.1</v>
      </c>
      <c r="BL6" s="31">
        <v>0.2</v>
      </c>
      <c r="BM6" s="35">
        <v>4</v>
      </c>
      <c r="BN6" s="26">
        <v>36</v>
      </c>
      <c r="BO6" s="36">
        <v>18</v>
      </c>
      <c r="BP6" s="26">
        <v>17.5</v>
      </c>
      <c r="BQ6" s="26" t="s">
        <v>121</v>
      </c>
      <c r="BR6" s="26" t="s">
        <v>122</v>
      </c>
      <c r="BS6" s="32" t="s">
        <v>123</v>
      </c>
      <c r="BT6" s="18"/>
      <c r="BU6" s="18"/>
      <c r="BV6" s="18"/>
      <c r="BW6" s="18"/>
      <c r="BX6" s="18"/>
      <c r="BY6" s="18"/>
    </row>
    <row r="7" spans="1:77" ht="180">
      <c r="A7" s="25" t="s">
        <v>118</v>
      </c>
      <c r="B7" s="26" t="s">
        <v>119</v>
      </c>
      <c r="C7" s="26">
        <v>60</v>
      </c>
      <c r="D7" s="26">
        <v>120</v>
      </c>
      <c r="E7" s="31">
        <v>7</v>
      </c>
      <c r="F7" s="31">
        <v>40</v>
      </c>
      <c r="G7" s="31">
        <v>96</v>
      </c>
      <c r="H7" s="31">
        <v>7</v>
      </c>
      <c r="I7" s="31">
        <v>7</v>
      </c>
      <c r="J7" s="31">
        <v>7</v>
      </c>
      <c r="K7" s="31">
        <f t="shared" si="0"/>
        <v>0</v>
      </c>
      <c r="L7" s="31">
        <v>1.5</v>
      </c>
      <c r="M7" s="31" t="s">
        <v>120</v>
      </c>
      <c r="N7" s="31">
        <v>0.1</v>
      </c>
      <c r="O7" s="31">
        <v>0.1</v>
      </c>
      <c r="P7" s="31">
        <v>0.2</v>
      </c>
      <c r="Q7" s="31">
        <v>1</v>
      </c>
      <c r="R7" s="26">
        <v>20</v>
      </c>
      <c r="S7" s="26">
        <v>10</v>
      </c>
      <c r="T7" s="26">
        <v>35</v>
      </c>
      <c r="U7" s="26" t="s">
        <v>121</v>
      </c>
      <c r="V7" s="26" t="s">
        <v>122</v>
      </c>
      <c r="W7" s="32" t="s">
        <v>123</v>
      </c>
      <c r="X7" s="37"/>
      <c r="Y7" s="25" t="s">
        <v>124</v>
      </c>
      <c r="Z7" s="26" t="s">
        <v>119</v>
      </c>
      <c r="AA7" s="26">
        <v>60</v>
      </c>
      <c r="AB7" s="26">
        <v>192</v>
      </c>
      <c r="AC7" s="31">
        <v>12</v>
      </c>
      <c r="AD7" s="38">
        <v>241</v>
      </c>
      <c r="AE7" s="39">
        <v>300</v>
      </c>
      <c r="AF7" s="31">
        <v>7</v>
      </c>
      <c r="AG7" s="31">
        <v>7</v>
      </c>
      <c r="AH7" s="31">
        <v>13</v>
      </c>
      <c r="AI7" s="31">
        <f t="shared" si="2"/>
        <v>6</v>
      </c>
      <c r="AJ7" s="31">
        <v>2</v>
      </c>
      <c r="AK7" s="35">
        <v>3</v>
      </c>
      <c r="AL7" s="31">
        <v>40</v>
      </c>
      <c r="AM7" s="31">
        <v>0.1</v>
      </c>
      <c r="AN7" s="31">
        <v>0.1</v>
      </c>
      <c r="AO7" s="31">
        <v>0.2</v>
      </c>
      <c r="AP7" s="26">
        <v>30</v>
      </c>
      <c r="AQ7" s="36">
        <v>15</v>
      </c>
      <c r="AR7" s="26">
        <v>17.5</v>
      </c>
      <c r="AS7" s="26" t="s">
        <v>121</v>
      </c>
      <c r="AT7" s="26" t="s">
        <v>122</v>
      </c>
      <c r="AU7" s="32" t="s">
        <v>123</v>
      </c>
      <c r="AV7" s="23"/>
      <c r="AW7" s="25" t="s">
        <v>125</v>
      </c>
      <c r="AX7" s="26" t="s">
        <v>119</v>
      </c>
      <c r="AY7" s="26">
        <v>96</v>
      </c>
      <c r="AZ7" s="26">
        <v>228</v>
      </c>
      <c r="BA7" s="31">
        <v>22</v>
      </c>
      <c r="BB7" s="31">
        <v>241</v>
      </c>
      <c r="BC7" s="31">
        <v>300</v>
      </c>
      <c r="BD7" s="31">
        <v>13</v>
      </c>
      <c r="BE7" s="31">
        <v>13</v>
      </c>
      <c r="BF7" s="31">
        <v>18</v>
      </c>
      <c r="BG7" s="31">
        <f t="shared" si="1"/>
        <v>5</v>
      </c>
      <c r="BH7" s="31">
        <v>2</v>
      </c>
      <c r="BI7" s="31">
        <v>40</v>
      </c>
      <c r="BJ7" s="31">
        <v>0.1</v>
      </c>
      <c r="BK7" s="31">
        <v>0.1</v>
      </c>
      <c r="BL7" s="31">
        <v>0.2</v>
      </c>
      <c r="BM7" s="35">
        <v>4</v>
      </c>
      <c r="BN7" s="26">
        <v>36</v>
      </c>
      <c r="BO7" s="36">
        <v>18</v>
      </c>
      <c r="BP7" s="26">
        <v>17.5</v>
      </c>
      <c r="BQ7" s="26" t="s">
        <v>121</v>
      </c>
      <c r="BR7" s="26" t="s">
        <v>122</v>
      </c>
      <c r="BS7" s="32" t="s">
        <v>123</v>
      </c>
      <c r="BT7" s="18"/>
      <c r="BU7" s="18"/>
      <c r="BV7" s="18"/>
      <c r="BW7" s="18"/>
      <c r="BX7" s="18"/>
      <c r="BY7" s="18"/>
    </row>
    <row r="8" spans="1:77" ht="180">
      <c r="A8" s="25" t="s">
        <v>118</v>
      </c>
      <c r="B8" s="26" t="s">
        <v>119</v>
      </c>
      <c r="C8" s="26">
        <v>60</v>
      </c>
      <c r="D8" s="26">
        <v>120</v>
      </c>
      <c r="E8" s="31">
        <v>6</v>
      </c>
      <c r="F8" s="31">
        <v>40</v>
      </c>
      <c r="G8" s="31">
        <v>96</v>
      </c>
      <c r="H8" s="31">
        <v>7</v>
      </c>
      <c r="I8" s="31">
        <v>7</v>
      </c>
      <c r="J8" s="31">
        <v>7</v>
      </c>
      <c r="K8" s="31">
        <f t="shared" si="0"/>
        <v>0</v>
      </c>
      <c r="L8" s="31">
        <v>1.5</v>
      </c>
      <c r="M8" s="31" t="s">
        <v>120</v>
      </c>
      <c r="N8" s="31">
        <v>0.1</v>
      </c>
      <c r="O8" s="31">
        <v>0.1</v>
      </c>
      <c r="P8" s="31">
        <v>0.2</v>
      </c>
      <c r="Q8" s="31">
        <v>1</v>
      </c>
      <c r="R8" s="26">
        <v>20</v>
      </c>
      <c r="S8" s="26">
        <v>10</v>
      </c>
      <c r="T8" s="26">
        <v>35</v>
      </c>
      <c r="U8" s="26" t="s">
        <v>121</v>
      </c>
      <c r="V8" s="26" t="s">
        <v>122</v>
      </c>
      <c r="W8" s="32" t="s">
        <v>123</v>
      </c>
      <c r="X8" s="37"/>
      <c r="Y8" s="25" t="s">
        <v>124</v>
      </c>
      <c r="Z8" s="26" t="s">
        <v>119</v>
      </c>
      <c r="AA8" s="26">
        <v>60</v>
      </c>
      <c r="AB8" s="26">
        <v>192</v>
      </c>
      <c r="AC8" s="31">
        <v>11</v>
      </c>
      <c r="AD8" s="38">
        <v>241</v>
      </c>
      <c r="AE8" s="39">
        <v>300</v>
      </c>
      <c r="AF8" s="31">
        <v>8</v>
      </c>
      <c r="AG8" s="31">
        <v>8</v>
      </c>
      <c r="AH8" s="31">
        <v>13</v>
      </c>
      <c r="AI8" s="31">
        <f t="shared" si="2"/>
        <v>5</v>
      </c>
      <c r="AJ8" s="31">
        <v>2</v>
      </c>
      <c r="AK8" s="35">
        <v>3</v>
      </c>
      <c r="AL8" s="31">
        <v>40</v>
      </c>
      <c r="AM8" s="31">
        <v>0.1</v>
      </c>
      <c r="AN8" s="31">
        <v>0.1</v>
      </c>
      <c r="AO8" s="31">
        <v>0.2</v>
      </c>
      <c r="AP8" s="26">
        <v>30</v>
      </c>
      <c r="AQ8" s="36">
        <v>15</v>
      </c>
      <c r="AR8" s="26">
        <v>17.5</v>
      </c>
      <c r="AS8" s="26" t="s">
        <v>121</v>
      </c>
      <c r="AT8" s="26" t="s">
        <v>122</v>
      </c>
      <c r="AU8" s="32" t="s">
        <v>123</v>
      </c>
      <c r="AV8" s="23"/>
      <c r="AW8" s="25" t="s">
        <v>125</v>
      </c>
      <c r="AX8" s="26" t="s">
        <v>119</v>
      </c>
      <c r="AY8" s="26">
        <v>96</v>
      </c>
      <c r="AZ8" s="26">
        <v>228</v>
      </c>
      <c r="BA8" s="31">
        <v>21</v>
      </c>
      <c r="BB8" s="31">
        <v>241</v>
      </c>
      <c r="BC8" s="31">
        <v>300</v>
      </c>
      <c r="BD8" s="31">
        <v>14</v>
      </c>
      <c r="BE8" s="31">
        <v>14</v>
      </c>
      <c r="BF8" s="31">
        <v>18</v>
      </c>
      <c r="BG8" s="31">
        <f t="shared" si="1"/>
        <v>4</v>
      </c>
      <c r="BH8" s="31">
        <v>2</v>
      </c>
      <c r="BI8" s="31">
        <v>40</v>
      </c>
      <c r="BJ8" s="31">
        <v>0.1</v>
      </c>
      <c r="BK8" s="31">
        <v>0.1</v>
      </c>
      <c r="BL8" s="31">
        <v>0.2</v>
      </c>
      <c r="BM8" s="35">
        <v>4</v>
      </c>
      <c r="BN8" s="26">
        <v>36</v>
      </c>
      <c r="BO8" s="36">
        <v>18</v>
      </c>
      <c r="BP8" s="26">
        <v>17.5</v>
      </c>
      <c r="BQ8" s="26" t="s">
        <v>121</v>
      </c>
      <c r="BR8" s="26" t="s">
        <v>122</v>
      </c>
      <c r="BS8" s="32" t="s">
        <v>123</v>
      </c>
      <c r="BT8" s="18"/>
      <c r="BU8" s="18"/>
      <c r="BV8" s="18"/>
      <c r="BW8" s="18"/>
      <c r="BX8" s="18"/>
      <c r="BY8" s="18"/>
    </row>
    <row r="9" spans="1:77" ht="180">
      <c r="A9" s="25" t="s">
        <v>118</v>
      </c>
      <c r="B9" s="26" t="s">
        <v>119</v>
      </c>
      <c r="C9" s="26">
        <v>60</v>
      </c>
      <c r="D9" s="26">
        <v>120</v>
      </c>
      <c r="E9" s="31">
        <v>5</v>
      </c>
      <c r="F9" s="31">
        <v>40</v>
      </c>
      <c r="G9" s="31">
        <v>96</v>
      </c>
      <c r="H9" s="31">
        <v>7</v>
      </c>
      <c r="I9" s="31">
        <v>7</v>
      </c>
      <c r="J9" s="31">
        <v>7</v>
      </c>
      <c r="K9" s="31">
        <f t="shared" si="0"/>
        <v>0</v>
      </c>
      <c r="L9" s="31">
        <v>1.5</v>
      </c>
      <c r="M9" s="31" t="s">
        <v>120</v>
      </c>
      <c r="N9" s="31">
        <v>0.1</v>
      </c>
      <c r="O9" s="31">
        <v>0.1</v>
      </c>
      <c r="P9" s="31">
        <v>0.2</v>
      </c>
      <c r="Q9" s="31">
        <v>1</v>
      </c>
      <c r="R9" s="26">
        <v>20</v>
      </c>
      <c r="S9" s="26">
        <v>10</v>
      </c>
      <c r="T9" s="26">
        <v>35</v>
      </c>
      <c r="U9" s="26" t="s">
        <v>121</v>
      </c>
      <c r="V9" s="26" t="s">
        <v>122</v>
      </c>
      <c r="W9" s="32" t="s">
        <v>123</v>
      </c>
      <c r="X9" s="37"/>
      <c r="Y9" s="25" t="s">
        <v>124</v>
      </c>
      <c r="Z9" s="26" t="s">
        <v>119</v>
      </c>
      <c r="AA9" s="26">
        <v>60</v>
      </c>
      <c r="AB9" s="26">
        <v>192</v>
      </c>
      <c r="AC9" s="31">
        <v>10</v>
      </c>
      <c r="AD9" s="38">
        <v>241</v>
      </c>
      <c r="AE9" s="39">
        <v>300</v>
      </c>
      <c r="AF9" s="31">
        <v>9</v>
      </c>
      <c r="AG9" s="31">
        <v>9</v>
      </c>
      <c r="AH9" s="31">
        <v>13</v>
      </c>
      <c r="AI9" s="31">
        <f t="shared" si="2"/>
        <v>4</v>
      </c>
      <c r="AJ9" s="31">
        <v>2</v>
      </c>
      <c r="AK9" s="35">
        <v>3</v>
      </c>
      <c r="AL9" s="31">
        <v>40</v>
      </c>
      <c r="AM9" s="31">
        <v>0.1</v>
      </c>
      <c r="AN9" s="31">
        <v>0.1</v>
      </c>
      <c r="AO9" s="31">
        <v>0.2</v>
      </c>
      <c r="AP9" s="26">
        <v>30</v>
      </c>
      <c r="AQ9" s="36">
        <v>15</v>
      </c>
      <c r="AR9" s="26">
        <v>17.5</v>
      </c>
      <c r="AS9" s="26" t="s">
        <v>121</v>
      </c>
      <c r="AT9" s="26" t="s">
        <v>122</v>
      </c>
      <c r="AU9" s="32" t="s">
        <v>123</v>
      </c>
      <c r="AV9" s="23"/>
      <c r="AW9" s="25" t="s">
        <v>125</v>
      </c>
      <c r="AX9" s="26" t="s">
        <v>119</v>
      </c>
      <c r="AY9" s="26">
        <v>96</v>
      </c>
      <c r="AZ9" s="26">
        <v>228</v>
      </c>
      <c r="BA9" s="31">
        <v>20</v>
      </c>
      <c r="BB9" s="31">
        <v>241</v>
      </c>
      <c r="BC9" s="31">
        <v>300</v>
      </c>
      <c r="BD9" s="31">
        <v>15</v>
      </c>
      <c r="BE9" s="31">
        <v>15</v>
      </c>
      <c r="BF9" s="31">
        <v>18</v>
      </c>
      <c r="BG9" s="31">
        <f t="shared" si="1"/>
        <v>3</v>
      </c>
      <c r="BH9" s="31">
        <v>2</v>
      </c>
      <c r="BI9" s="31">
        <v>40</v>
      </c>
      <c r="BJ9" s="31">
        <v>0.1</v>
      </c>
      <c r="BK9" s="31">
        <v>0.1</v>
      </c>
      <c r="BL9" s="31">
        <v>0.2</v>
      </c>
      <c r="BM9" s="35">
        <v>4</v>
      </c>
      <c r="BN9" s="26">
        <v>36</v>
      </c>
      <c r="BO9" s="36">
        <v>18</v>
      </c>
      <c r="BP9" s="26">
        <v>17.5</v>
      </c>
      <c r="BQ9" s="26" t="s">
        <v>121</v>
      </c>
      <c r="BR9" s="26" t="s">
        <v>122</v>
      </c>
      <c r="BS9" s="32" t="s">
        <v>123</v>
      </c>
      <c r="BT9" s="18"/>
      <c r="BU9" s="18"/>
      <c r="BV9" s="18"/>
      <c r="BW9" s="18"/>
      <c r="BX9" s="18"/>
      <c r="BY9" s="18"/>
    </row>
    <row r="10" spans="1:77" ht="180.75" thickBot="1">
      <c r="A10" s="40" t="s">
        <v>118</v>
      </c>
      <c r="B10" s="41" t="s">
        <v>119</v>
      </c>
      <c r="C10" s="41">
        <v>60</v>
      </c>
      <c r="D10" s="41">
        <v>120</v>
      </c>
      <c r="E10" s="42">
        <v>4</v>
      </c>
      <c r="F10" s="42">
        <v>40</v>
      </c>
      <c r="G10" s="42">
        <v>96</v>
      </c>
      <c r="H10" s="42">
        <v>7</v>
      </c>
      <c r="I10" s="42">
        <v>7</v>
      </c>
      <c r="J10" s="42">
        <v>7</v>
      </c>
      <c r="K10" s="42">
        <f t="shared" si="0"/>
        <v>0</v>
      </c>
      <c r="L10" s="42">
        <v>1.5</v>
      </c>
      <c r="M10" s="42" t="s">
        <v>120</v>
      </c>
      <c r="N10" s="31">
        <v>0.1</v>
      </c>
      <c r="O10" s="31">
        <v>0.1</v>
      </c>
      <c r="P10" s="31">
        <v>0.2</v>
      </c>
      <c r="Q10" s="42">
        <v>1</v>
      </c>
      <c r="R10" s="41">
        <v>20</v>
      </c>
      <c r="S10" s="41">
        <v>10</v>
      </c>
      <c r="T10" s="41">
        <v>35</v>
      </c>
      <c r="U10" s="41" t="s">
        <v>121</v>
      </c>
      <c r="V10" s="41" t="s">
        <v>122</v>
      </c>
      <c r="W10" s="43" t="s">
        <v>123</v>
      </c>
      <c r="X10" s="37"/>
      <c r="Y10" s="25" t="s">
        <v>124</v>
      </c>
      <c r="Z10" s="26" t="s">
        <v>119</v>
      </c>
      <c r="AA10" s="26">
        <v>60</v>
      </c>
      <c r="AB10" s="26">
        <v>192</v>
      </c>
      <c r="AC10" s="31">
        <v>9</v>
      </c>
      <c r="AD10" s="38">
        <v>241</v>
      </c>
      <c r="AE10" s="39">
        <v>300</v>
      </c>
      <c r="AF10" s="31">
        <v>10</v>
      </c>
      <c r="AG10" s="31">
        <v>10</v>
      </c>
      <c r="AH10" s="31">
        <v>13</v>
      </c>
      <c r="AI10" s="31">
        <f t="shared" si="2"/>
        <v>3</v>
      </c>
      <c r="AJ10" s="31">
        <v>2</v>
      </c>
      <c r="AK10" s="35">
        <v>3</v>
      </c>
      <c r="AL10" s="31">
        <v>40</v>
      </c>
      <c r="AM10" s="31">
        <v>0.1</v>
      </c>
      <c r="AN10" s="31">
        <v>0.1</v>
      </c>
      <c r="AO10" s="31">
        <v>0.2</v>
      </c>
      <c r="AP10" s="26">
        <v>30</v>
      </c>
      <c r="AQ10" s="36">
        <v>15</v>
      </c>
      <c r="AR10" s="26">
        <v>17.5</v>
      </c>
      <c r="AS10" s="26" t="s">
        <v>121</v>
      </c>
      <c r="AT10" s="26" t="s">
        <v>122</v>
      </c>
      <c r="AU10" s="32" t="s">
        <v>123</v>
      </c>
      <c r="AV10" s="23"/>
      <c r="AW10" s="25" t="s">
        <v>125</v>
      </c>
      <c r="AX10" s="26" t="s">
        <v>119</v>
      </c>
      <c r="AY10" s="26">
        <v>96</v>
      </c>
      <c r="AZ10" s="26">
        <v>228</v>
      </c>
      <c r="BA10" s="31">
        <v>19</v>
      </c>
      <c r="BB10" s="31">
        <v>241</v>
      </c>
      <c r="BC10" s="31">
        <v>300</v>
      </c>
      <c r="BD10" s="31">
        <v>16</v>
      </c>
      <c r="BE10" s="31">
        <v>16</v>
      </c>
      <c r="BF10" s="31">
        <v>18</v>
      </c>
      <c r="BG10" s="31">
        <f t="shared" si="1"/>
        <v>2</v>
      </c>
      <c r="BH10" s="31">
        <v>2</v>
      </c>
      <c r="BI10" s="31">
        <v>40</v>
      </c>
      <c r="BJ10" s="31">
        <v>0.1</v>
      </c>
      <c r="BK10" s="31">
        <v>0.1</v>
      </c>
      <c r="BL10" s="31">
        <v>0.2</v>
      </c>
      <c r="BM10" s="35">
        <v>4</v>
      </c>
      <c r="BN10" s="26">
        <v>36</v>
      </c>
      <c r="BO10" s="36">
        <v>18</v>
      </c>
      <c r="BP10" s="26">
        <v>17.5</v>
      </c>
      <c r="BQ10" s="26" t="s">
        <v>121</v>
      </c>
      <c r="BR10" s="26" t="s">
        <v>122</v>
      </c>
      <c r="BS10" s="32" t="s">
        <v>123</v>
      </c>
      <c r="BT10" s="18"/>
      <c r="BU10" s="18"/>
      <c r="BV10" s="18"/>
      <c r="BW10" s="18"/>
      <c r="BX10" s="18"/>
      <c r="BY10" s="18"/>
    </row>
    <row r="11" spans="1:77" ht="180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31">
        <v>0.1</v>
      </c>
      <c r="O11" s="31">
        <v>0.1</v>
      </c>
      <c r="P11" s="31">
        <v>0.2</v>
      </c>
      <c r="Q11" s="18"/>
      <c r="R11" s="18"/>
      <c r="S11" s="18"/>
      <c r="T11" s="18"/>
      <c r="U11" s="18"/>
      <c r="V11" s="18"/>
      <c r="W11" s="18"/>
      <c r="X11" s="18"/>
      <c r="Y11" s="25" t="s">
        <v>124</v>
      </c>
      <c r="Z11" s="26" t="s">
        <v>119</v>
      </c>
      <c r="AA11" s="26">
        <v>60</v>
      </c>
      <c r="AB11" s="26">
        <v>192</v>
      </c>
      <c r="AC11" s="31">
        <v>8</v>
      </c>
      <c r="AD11" s="38">
        <v>241</v>
      </c>
      <c r="AE11" s="39">
        <v>300</v>
      </c>
      <c r="AF11" s="31">
        <v>11</v>
      </c>
      <c r="AG11" s="31">
        <v>11</v>
      </c>
      <c r="AH11" s="31">
        <v>13</v>
      </c>
      <c r="AI11" s="31">
        <f t="shared" si="2"/>
        <v>2</v>
      </c>
      <c r="AJ11" s="31">
        <v>2</v>
      </c>
      <c r="AK11" s="35">
        <v>3</v>
      </c>
      <c r="AL11" s="31">
        <v>40</v>
      </c>
      <c r="AM11" s="31">
        <v>0.1</v>
      </c>
      <c r="AN11" s="31">
        <v>0.1</v>
      </c>
      <c r="AO11" s="31">
        <v>0.2</v>
      </c>
      <c r="AP11" s="26">
        <v>30</v>
      </c>
      <c r="AQ11" s="36">
        <v>15</v>
      </c>
      <c r="AR11" s="26">
        <v>17.5</v>
      </c>
      <c r="AS11" s="26" t="s">
        <v>121</v>
      </c>
      <c r="AT11" s="26" t="s">
        <v>122</v>
      </c>
      <c r="AU11" s="32" t="s">
        <v>123</v>
      </c>
      <c r="AV11" s="23"/>
      <c r="AW11" s="25" t="s">
        <v>125</v>
      </c>
      <c r="AX11" s="26" t="s">
        <v>119</v>
      </c>
      <c r="AY11" s="26">
        <v>96</v>
      </c>
      <c r="AZ11" s="26">
        <v>228</v>
      </c>
      <c r="BA11" s="31">
        <v>18</v>
      </c>
      <c r="BB11" s="31">
        <v>241</v>
      </c>
      <c r="BC11" s="31">
        <v>300</v>
      </c>
      <c r="BD11" s="31">
        <v>17</v>
      </c>
      <c r="BE11" s="31">
        <v>17</v>
      </c>
      <c r="BF11" s="31">
        <v>18</v>
      </c>
      <c r="BG11" s="31">
        <f t="shared" si="1"/>
        <v>1</v>
      </c>
      <c r="BH11" s="31">
        <v>2</v>
      </c>
      <c r="BI11" s="31">
        <v>40</v>
      </c>
      <c r="BJ11" s="31">
        <v>0.1</v>
      </c>
      <c r="BK11" s="31">
        <v>0.1</v>
      </c>
      <c r="BL11" s="31">
        <v>0.2</v>
      </c>
      <c r="BM11" s="35">
        <v>4</v>
      </c>
      <c r="BN11" s="26">
        <v>36</v>
      </c>
      <c r="BO11" s="36">
        <v>18</v>
      </c>
      <c r="BP11" s="26">
        <v>17.5</v>
      </c>
      <c r="BQ11" s="26" t="s">
        <v>121</v>
      </c>
      <c r="BR11" s="26" t="s">
        <v>122</v>
      </c>
      <c r="BS11" s="32" t="s">
        <v>123</v>
      </c>
      <c r="BT11" s="18"/>
      <c r="BU11" s="18"/>
      <c r="BV11" s="18"/>
      <c r="BW11" s="18"/>
      <c r="BX11" s="18"/>
      <c r="BY11" s="18"/>
    </row>
    <row r="12" spans="1:77" ht="180">
      <c r="A12" s="18"/>
      <c r="B12" s="18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31">
        <v>0.1</v>
      </c>
      <c r="O12" s="31">
        <v>0.1</v>
      </c>
      <c r="P12" s="31">
        <v>0.2</v>
      </c>
      <c r="Q12" s="22"/>
      <c r="R12" s="22"/>
      <c r="S12" s="22"/>
      <c r="T12" s="22"/>
      <c r="U12" s="22"/>
      <c r="V12" s="22"/>
      <c r="W12" s="22"/>
      <c r="X12" s="22"/>
      <c r="Y12" s="25" t="s">
        <v>124</v>
      </c>
      <c r="Z12" s="26" t="s">
        <v>119</v>
      </c>
      <c r="AA12" s="26">
        <v>60</v>
      </c>
      <c r="AB12" s="26">
        <v>192</v>
      </c>
      <c r="AC12" s="31">
        <v>7</v>
      </c>
      <c r="AD12" s="38">
        <v>241</v>
      </c>
      <c r="AE12" s="39">
        <v>300</v>
      </c>
      <c r="AF12" s="31">
        <v>12</v>
      </c>
      <c r="AG12" s="31">
        <v>12</v>
      </c>
      <c r="AH12" s="31">
        <v>13</v>
      </c>
      <c r="AI12" s="31">
        <f t="shared" si="2"/>
        <v>1</v>
      </c>
      <c r="AJ12" s="31">
        <v>2</v>
      </c>
      <c r="AK12" s="35">
        <v>3</v>
      </c>
      <c r="AL12" s="31">
        <v>40</v>
      </c>
      <c r="AM12" s="31">
        <v>0.1</v>
      </c>
      <c r="AN12" s="31">
        <v>0.1</v>
      </c>
      <c r="AO12" s="31">
        <v>0.2</v>
      </c>
      <c r="AP12" s="26">
        <v>30</v>
      </c>
      <c r="AQ12" s="36">
        <v>15</v>
      </c>
      <c r="AR12" s="26">
        <v>17.5</v>
      </c>
      <c r="AS12" s="26" t="s">
        <v>121</v>
      </c>
      <c r="AT12" s="26" t="s">
        <v>122</v>
      </c>
      <c r="AU12" s="32" t="s">
        <v>123</v>
      </c>
      <c r="AV12" s="23"/>
      <c r="AW12" s="25" t="s">
        <v>125</v>
      </c>
      <c r="AX12" s="26" t="s">
        <v>119</v>
      </c>
      <c r="AY12" s="26">
        <v>96</v>
      </c>
      <c r="AZ12" s="26">
        <v>228</v>
      </c>
      <c r="BA12" s="44">
        <v>17</v>
      </c>
      <c r="BB12" s="31">
        <v>241</v>
      </c>
      <c r="BC12" s="31">
        <v>300</v>
      </c>
      <c r="BD12" s="45">
        <v>18</v>
      </c>
      <c r="BE12" s="45">
        <v>18</v>
      </c>
      <c r="BF12" s="45">
        <v>18</v>
      </c>
      <c r="BG12" s="45">
        <f t="shared" si="1"/>
        <v>0</v>
      </c>
      <c r="BH12" s="31">
        <v>2</v>
      </c>
      <c r="BI12" s="31">
        <v>40</v>
      </c>
      <c r="BJ12" s="31">
        <v>0.1</v>
      </c>
      <c r="BK12" s="31">
        <v>0.1</v>
      </c>
      <c r="BL12" s="31">
        <v>0.2</v>
      </c>
      <c r="BM12" s="35">
        <v>4</v>
      </c>
      <c r="BN12" s="26">
        <v>36</v>
      </c>
      <c r="BO12" s="36">
        <v>18</v>
      </c>
      <c r="BP12" s="26">
        <v>17.5</v>
      </c>
      <c r="BQ12" s="26" t="s">
        <v>121</v>
      </c>
      <c r="BR12" s="26" t="s">
        <v>122</v>
      </c>
      <c r="BS12" s="32" t="s">
        <v>123</v>
      </c>
      <c r="BT12" s="18"/>
      <c r="BU12" s="18"/>
      <c r="BV12" s="18"/>
      <c r="BW12" s="18"/>
      <c r="BX12" s="18"/>
      <c r="BY12" s="18"/>
    </row>
    <row r="13" spans="1:77" ht="180.75" thickBo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31">
        <v>0.1</v>
      </c>
      <c r="O13" s="31">
        <v>0.1</v>
      </c>
      <c r="P13" s="31">
        <v>0.2</v>
      </c>
      <c r="Q13" s="18"/>
      <c r="R13" s="18"/>
      <c r="S13" s="18"/>
      <c r="T13" s="18"/>
      <c r="U13" s="18"/>
      <c r="V13" s="18"/>
      <c r="W13" s="18"/>
      <c r="X13" s="18"/>
      <c r="Y13" s="40" t="s">
        <v>124</v>
      </c>
      <c r="Z13" s="41" t="s">
        <v>119</v>
      </c>
      <c r="AA13" s="41">
        <v>60</v>
      </c>
      <c r="AB13" s="41">
        <v>192</v>
      </c>
      <c r="AC13" s="42">
        <v>6</v>
      </c>
      <c r="AD13" s="46">
        <v>241</v>
      </c>
      <c r="AE13" s="47">
        <v>300</v>
      </c>
      <c r="AF13" s="46">
        <v>12</v>
      </c>
      <c r="AG13" s="46">
        <v>12</v>
      </c>
      <c r="AH13" s="42">
        <v>13</v>
      </c>
      <c r="AI13" s="31">
        <f t="shared" si="2"/>
        <v>1</v>
      </c>
      <c r="AJ13" s="42">
        <v>2</v>
      </c>
      <c r="AK13" s="48">
        <v>3</v>
      </c>
      <c r="AL13" s="42">
        <v>40</v>
      </c>
      <c r="AM13" s="31">
        <v>0.1</v>
      </c>
      <c r="AN13" s="31">
        <v>0.1</v>
      </c>
      <c r="AO13" s="31">
        <v>0.2</v>
      </c>
      <c r="AP13" s="41">
        <v>30</v>
      </c>
      <c r="AQ13" s="49">
        <v>15</v>
      </c>
      <c r="AR13" s="41">
        <v>17.5</v>
      </c>
      <c r="AS13" s="41" t="s">
        <v>121</v>
      </c>
      <c r="AT13" s="41" t="s">
        <v>122</v>
      </c>
      <c r="AU13" s="43" t="s">
        <v>123</v>
      </c>
      <c r="AV13" s="23"/>
      <c r="AW13" s="25" t="s">
        <v>125</v>
      </c>
      <c r="AX13" s="26" t="s">
        <v>119</v>
      </c>
      <c r="AY13" s="26">
        <v>96</v>
      </c>
      <c r="AZ13" s="26">
        <v>228</v>
      </c>
      <c r="BA13" s="44">
        <v>16</v>
      </c>
      <c r="BB13" s="31">
        <v>241</v>
      </c>
      <c r="BC13" s="31">
        <v>300</v>
      </c>
      <c r="BD13" s="44">
        <v>19</v>
      </c>
      <c r="BE13" s="44">
        <v>19</v>
      </c>
      <c r="BF13" s="38">
        <v>18</v>
      </c>
      <c r="BG13" s="44">
        <f t="shared" si="1"/>
        <v>-1</v>
      </c>
      <c r="BH13" s="31">
        <v>2</v>
      </c>
      <c r="BI13" s="31">
        <v>40</v>
      </c>
      <c r="BJ13" s="31">
        <v>0.1</v>
      </c>
      <c r="BK13" s="31">
        <v>0.1</v>
      </c>
      <c r="BL13" s="31">
        <v>0.2</v>
      </c>
      <c r="BM13" s="35">
        <v>4</v>
      </c>
      <c r="BN13" s="26">
        <v>36</v>
      </c>
      <c r="BO13" s="36">
        <v>18</v>
      </c>
      <c r="BP13" s="26">
        <v>17.5</v>
      </c>
      <c r="BQ13" s="26" t="s">
        <v>121</v>
      </c>
      <c r="BR13" s="26" t="s">
        <v>122</v>
      </c>
      <c r="BS13" s="32" t="s">
        <v>123</v>
      </c>
      <c r="BT13" s="18"/>
      <c r="BU13" s="18"/>
      <c r="BV13" s="18"/>
      <c r="BW13" s="18"/>
      <c r="BX13" s="18"/>
      <c r="BY13" s="18"/>
    </row>
    <row r="14" spans="1:77" ht="180.75" thickBot="1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27"/>
      <c r="L14" s="18"/>
      <c r="M14" s="18"/>
      <c r="N14" s="55"/>
      <c r="O14" s="55"/>
      <c r="P14" s="55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55"/>
      <c r="AN14" s="55"/>
      <c r="AO14" s="55"/>
      <c r="AP14" s="22"/>
      <c r="AQ14" s="23"/>
      <c r="AR14" s="23"/>
      <c r="AS14" s="23"/>
      <c r="AT14" s="23"/>
      <c r="AU14" s="23"/>
      <c r="AV14" s="23"/>
      <c r="AW14" s="25" t="s">
        <v>125</v>
      </c>
      <c r="AX14" s="26" t="s">
        <v>119</v>
      </c>
      <c r="AY14" s="26">
        <v>96</v>
      </c>
      <c r="AZ14" s="26">
        <v>228</v>
      </c>
      <c r="BA14" s="44">
        <v>15</v>
      </c>
      <c r="BB14" s="31">
        <v>241</v>
      </c>
      <c r="BC14" s="31">
        <v>300</v>
      </c>
      <c r="BD14" s="44">
        <v>20</v>
      </c>
      <c r="BE14" s="44">
        <v>20</v>
      </c>
      <c r="BF14" s="38">
        <v>18</v>
      </c>
      <c r="BG14" s="44">
        <f t="shared" si="1"/>
        <v>-2</v>
      </c>
      <c r="BH14" s="31">
        <v>2</v>
      </c>
      <c r="BI14" s="31">
        <v>40</v>
      </c>
      <c r="BJ14" s="31">
        <v>0.1</v>
      </c>
      <c r="BK14" s="31">
        <v>0.1</v>
      </c>
      <c r="BL14" s="31">
        <v>0.2</v>
      </c>
      <c r="BM14" s="35">
        <v>4</v>
      </c>
      <c r="BN14" s="26">
        <v>36</v>
      </c>
      <c r="BO14" s="36">
        <v>18</v>
      </c>
      <c r="BP14" s="26">
        <v>17.5</v>
      </c>
      <c r="BQ14" s="26" t="s">
        <v>121</v>
      </c>
      <c r="BR14" s="26" t="s">
        <v>122</v>
      </c>
      <c r="BS14" s="32" t="s">
        <v>123</v>
      </c>
      <c r="BT14" s="18"/>
      <c r="BU14" s="18"/>
      <c r="BV14" s="18"/>
      <c r="BW14" s="18"/>
      <c r="BX14" s="18"/>
      <c r="BY14" s="18"/>
    </row>
    <row r="15" spans="1:77" ht="180.75" thickBot="1">
      <c r="A15" s="148" t="s">
        <v>126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50"/>
      <c r="X15" s="23"/>
      <c r="Y15" s="145" t="s">
        <v>127</v>
      </c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7"/>
      <c r="AV15" s="23"/>
      <c r="AW15" s="25" t="s">
        <v>125</v>
      </c>
      <c r="AX15" s="26" t="s">
        <v>119</v>
      </c>
      <c r="AY15" s="26">
        <v>96</v>
      </c>
      <c r="AZ15" s="26">
        <v>228</v>
      </c>
      <c r="BA15" s="44">
        <v>14</v>
      </c>
      <c r="BB15" s="31">
        <v>241</v>
      </c>
      <c r="BC15" s="31">
        <v>300</v>
      </c>
      <c r="BD15" s="44">
        <v>21</v>
      </c>
      <c r="BE15" s="44">
        <v>21</v>
      </c>
      <c r="BF15" s="38">
        <v>18</v>
      </c>
      <c r="BG15" s="44">
        <f t="shared" si="1"/>
        <v>-3</v>
      </c>
      <c r="BH15" s="31">
        <v>2</v>
      </c>
      <c r="BI15" s="31">
        <v>40</v>
      </c>
      <c r="BJ15" s="31">
        <v>0.1</v>
      </c>
      <c r="BK15" s="31">
        <v>0.1</v>
      </c>
      <c r="BL15" s="31">
        <v>0.2</v>
      </c>
      <c r="BM15" s="35">
        <v>4</v>
      </c>
      <c r="BN15" s="26">
        <v>36</v>
      </c>
      <c r="BO15" s="36">
        <v>18</v>
      </c>
      <c r="BP15" s="26">
        <v>17.5</v>
      </c>
      <c r="BQ15" s="26" t="s">
        <v>121</v>
      </c>
      <c r="BR15" s="26" t="s">
        <v>122</v>
      </c>
      <c r="BS15" s="32" t="s">
        <v>123</v>
      </c>
      <c r="BT15" s="18"/>
      <c r="BU15" s="18"/>
      <c r="BV15" s="18"/>
      <c r="BW15" s="18"/>
      <c r="BX15" s="18"/>
      <c r="BY15" s="18"/>
    </row>
    <row r="16" spans="1:77" ht="180">
      <c r="A16" s="25" t="s">
        <v>92</v>
      </c>
      <c r="B16" s="26" t="s">
        <v>93</v>
      </c>
      <c r="C16" s="26" t="s">
        <v>94</v>
      </c>
      <c r="D16" s="26" t="s">
        <v>95</v>
      </c>
      <c r="E16" s="27" t="s">
        <v>113</v>
      </c>
      <c r="F16" s="27" t="s">
        <v>97</v>
      </c>
      <c r="G16" s="27" t="s">
        <v>98</v>
      </c>
      <c r="H16" s="27" t="s">
        <v>114</v>
      </c>
      <c r="I16" s="27" t="s">
        <v>115</v>
      </c>
      <c r="J16" s="27" t="s">
        <v>101</v>
      </c>
      <c r="K16" s="28" t="s">
        <v>102</v>
      </c>
      <c r="L16" s="27" t="s">
        <v>103</v>
      </c>
      <c r="M16" s="27" t="s">
        <v>104</v>
      </c>
      <c r="N16" s="138" t="s">
        <v>180</v>
      </c>
      <c r="O16" s="138" t="s">
        <v>181</v>
      </c>
      <c r="P16" s="138" t="s">
        <v>182</v>
      </c>
      <c r="Q16" s="27" t="s">
        <v>105</v>
      </c>
      <c r="R16" s="26" t="s">
        <v>106</v>
      </c>
      <c r="S16" s="26" t="s">
        <v>107</v>
      </c>
      <c r="T16" s="29" t="s">
        <v>108</v>
      </c>
      <c r="U16" s="29" t="s">
        <v>109</v>
      </c>
      <c r="V16" s="29" t="s">
        <v>110</v>
      </c>
      <c r="W16" s="30" t="s">
        <v>111</v>
      </c>
      <c r="X16" s="50"/>
      <c r="Y16" s="25" t="s">
        <v>112</v>
      </c>
      <c r="Z16" s="26" t="s">
        <v>93</v>
      </c>
      <c r="AA16" s="26" t="s">
        <v>94</v>
      </c>
      <c r="AB16" s="26" t="s">
        <v>95</v>
      </c>
      <c r="AC16" s="27" t="s">
        <v>113</v>
      </c>
      <c r="AD16" s="27" t="s">
        <v>97</v>
      </c>
      <c r="AE16" s="27" t="s">
        <v>98</v>
      </c>
      <c r="AF16" s="27" t="s">
        <v>114</v>
      </c>
      <c r="AG16" s="27" t="s">
        <v>115</v>
      </c>
      <c r="AH16" s="27" t="s">
        <v>101</v>
      </c>
      <c r="AI16" s="28" t="s">
        <v>102</v>
      </c>
      <c r="AJ16" s="27" t="s">
        <v>116</v>
      </c>
      <c r="AK16" s="27" t="s">
        <v>105</v>
      </c>
      <c r="AL16" s="27" t="s">
        <v>104</v>
      </c>
      <c r="AM16" s="138" t="s">
        <v>180</v>
      </c>
      <c r="AN16" s="138" t="s">
        <v>181</v>
      </c>
      <c r="AO16" s="138" t="s">
        <v>182</v>
      </c>
      <c r="AP16" s="26" t="s">
        <v>106</v>
      </c>
      <c r="AQ16" s="26" t="s">
        <v>107</v>
      </c>
      <c r="AR16" s="29" t="s">
        <v>108</v>
      </c>
      <c r="AS16" s="29" t="s">
        <v>109</v>
      </c>
      <c r="AT16" s="29" t="s">
        <v>110</v>
      </c>
      <c r="AU16" s="30" t="s">
        <v>111</v>
      </c>
      <c r="AV16" s="23"/>
      <c r="AW16" s="25" t="s">
        <v>125</v>
      </c>
      <c r="AX16" s="26" t="s">
        <v>119</v>
      </c>
      <c r="AY16" s="26">
        <v>96</v>
      </c>
      <c r="AZ16" s="26">
        <v>228</v>
      </c>
      <c r="BA16" s="44">
        <v>13</v>
      </c>
      <c r="BB16" s="31">
        <v>241</v>
      </c>
      <c r="BC16" s="31">
        <v>300</v>
      </c>
      <c r="BD16" s="44">
        <v>22</v>
      </c>
      <c r="BE16" s="44">
        <v>22</v>
      </c>
      <c r="BF16" s="38">
        <v>18</v>
      </c>
      <c r="BG16" s="44">
        <f t="shared" si="1"/>
        <v>-4</v>
      </c>
      <c r="BH16" s="31">
        <v>2</v>
      </c>
      <c r="BI16" s="31">
        <v>40</v>
      </c>
      <c r="BJ16" s="31">
        <v>0.1</v>
      </c>
      <c r="BK16" s="31">
        <v>0.1</v>
      </c>
      <c r="BL16" s="31">
        <v>0.2</v>
      </c>
      <c r="BM16" s="35">
        <v>4</v>
      </c>
      <c r="BN16" s="26">
        <v>36</v>
      </c>
      <c r="BO16" s="36">
        <v>18</v>
      </c>
      <c r="BP16" s="26">
        <v>17.5</v>
      </c>
      <c r="BQ16" s="26" t="s">
        <v>121</v>
      </c>
      <c r="BR16" s="26" t="s">
        <v>122</v>
      </c>
      <c r="BS16" s="32" t="s">
        <v>123</v>
      </c>
      <c r="BT16" s="18"/>
      <c r="BU16" s="18"/>
      <c r="BV16" s="18"/>
      <c r="BW16" s="18"/>
      <c r="BX16" s="18"/>
      <c r="BY16" s="18"/>
    </row>
    <row r="17" spans="1:77" ht="180">
      <c r="A17" s="25" t="s">
        <v>128</v>
      </c>
      <c r="B17" s="26" t="s">
        <v>119</v>
      </c>
      <c r="C17" s="26">
        <v>60</v>
      </c>
      <c r="D17" s="26">
        <v>120</v>
      </c>
      <c r="E17" s="31">
        <v>10</v>
      </c>
      <c r="F17" s="31">
        <v>40</v>
      </c>
      <c r="G17" s="31">
        <v>96</v>
      </c>
      <c r="H17" s="31">
        <v>4</v>
      </c>
      <c r="I17" s="31">
        <v>4</v>
      </c>
      <c r="J17" s="31">
        <v>7</v>
      </c>
      <c r="K17" s="31">
        <f>J17-I17</f>
        <v>3</v>
      </c>
      <c r="L17" s="31">
        <v>1.5</v>
      </c>
      <c r="M17" s="31" t="s">
        <v>120</v>
      </c>
      <c r="N17" s="31">
        <v>0.1</v>
      </c>
      <c r="O17" s="31">
        <v>0.1</v>
      </c>
      <c r="P17" s="31">
        <v>0.2</v>
      </c>
      <c r="Q17" s="31">
        <v>1</v>
      </c>
      <c r="R17" s="26">
        <v>20</v>
      </c>
      <c r="S17" s="26">
        <v>10</v>
      </c>
      <c r="T17" s="26">
        <v>35</v>
      </c>
      <c r="U17" s="26" t="s">
        <v>121</v>
      </c>
      <c r="V17" s="26" t="s">
        <v>122</v>
      </c>
      <c r="W17" s="32" t="s">
        <v>123</v>
      </c>
      <c r="X17" s="37"/>
      <c r="Y17" s="25" t="s">
        <v>129</v>
      </c>
      <c r="Z17" s="26" t="s">
        <v>119</v>
      </c>
      <c r="AA17" s="26">
        <v>60</v>
      </c>
      <c r="AB17" s="26">
        <v>192</v>
      </c>
      <c r="AC17" s="31">
        <v>15</v>
      </c>
      <c r="AD17" s="31">
        <v>60</v>
      </c>
      <c r="AE17" s="26">
        <v>120</v>
      </c>
      <c r="AF17" s="31">
        <v>4</v>
      </c>
      <c r="AG17" s="31">
        <v>4</v>
      </c>
      <c r="AH17" s="31">
        <v>13</v>
      </c>
      <c r="AI17" s="31">
        <f>AH17-AG17</f>
        <v>9</v>
      </c>
      <c r="AJ17" s="31">
        <v>1.5</v>
      </c>
      <c r="AK17" s="35">
        <v>2</v>
      </c>
      <c r="AL17" s="31">
        <v>25</v>
      </c>
      <c r="AM17" s="31">
        <v>0.1</v>
      </c>
      <c r="AN17" s="31">
        <v>0.1</v>
      </c>
      <c r="AO17" s="31">
        <v>0.2</v>
      </c>
      <c r="AP17" s="26">
        <v>20</v>
      </c>
      <c r="AQ17" s="26">
        <v>10</v>
      </c>
      <c r="AR17" s="26">
        <v>17.5</v>
      </c>
      <c r="AS17" s="26" t="s">
        <v>121</v>
      </c>
      <c r="AT17" s="26" t="s">
        <v>122</v>
      </c>
      <c r="AU17" s="32" t="s">
        <v>123</v>
      </c>
      <c r="AV17" s="23"/>
      <c r="AW17" s="25" t="s">
        <v>125</v>
      </c>
      <c r="AX17" s="26" t="s">
        <v>119</v>
      </c>
      <c r="AY17" s="26">
        <v>96</v>
      </c>
      <c r="AZ17" s="26">
        <v>228</v>
      </c>
      <c r="BA17" s="44">
        <v>11</v>
      </c>
      <c r="BB17" s="31">
        <v>241</v>
      </c>
      <c r="BC17" s="31">
        <v>300</v>
      </c>
      <c r="BD17" s="44">
        <v>23</v>
      </c>
      <c r="BE17" s="44">
        <v>23</v>
      </c>
      <c r="BF17" s="38">
        <v>18</v>
      </c>
      <c r="BG17" s="44">
        <f t="shared" si="1"/>
        <v>-5</v>
      </c>
      <c r="BH17" s="31">
        <v>2</v>
      </c>
      <c r="BI17" s="31">
        <v>40</v>
      </c>
      <c r="BJ17" s="31">
        <v>0.1</v>
      </c>
      <c r="BK17" s="31">
        <v>0.1</v>
      </c>
      <c r="BL17" s="31">
        <v>0.2</v>
      </c>
      <c r="BM17" s="35">
        <v>4</v>
      </c>
      <c r="BN17" s="26">
        <v>36</v>
      </c>
      <c r="BO17" s="36">
        <v>18</v>
      </c>
      <c r="BP17" s="26">
        <v>17.5</v>
      </c>
      <c r="BQ17" s="26" t="s">
        <v>121</v>
      </c>
      <c r="BR17" s="26" t="s">
        <v>122</v>
      </c>
      <c r="BS17" s="32" t="s">
        <v>123</v>
      </c>
      <c r="BT17" s="18"/>
      <c r="BU17" s="18"/>
      <c r="BV17" s="18"/>
      <c r="BW17" s="18"/>
      <c r="BX17" s="18"/>
      <c r="BY17" s="18"/>
    </row>
    <row r="18" spans="1:77" ht="180.75" thickBot="1">
      <c r="A18" s="25" t="s">
        <v>128</v>
      </c>
      <c r="B18" s="26" t="s">
        <v>119</v>
      </c>
      <c r="C18" s="26">
        <v>60</v>
      </c>
      <c r="D18" s="26">
        <v>120</v>
      </c>
      <c r="E18" s="31">
        <v>9</v>
      </c>
      <c r="F18" s="31">
        <v>40</v>
      </c>
      <c r="G18" s="31">
        <v>96</v>
      </c>
      <c r="H18" s="31">
        <v>5</v>
      </c>
      <c r="I18" s="31">
        <v>5</v>
      </c>
      <c r="J18" s="31">
        <v>7</v>
      </c>
      <c r="K18" s="31">
        <f t="shared" ref="K18:K23" si="3">J18-I18</f>
        <v>2</v>
      </c>
      <c r="L18" s="31">
        <v>1.5</v>
      </c>
      <c r="M18" s="31" t="s">
        <v>120</v>
      </c>
      <c r="N18" s="31">
        <v>0.1</v>
      </c>
      <c r="O18" s="31">
        <v>0.1</v>
      </c>
      <c r="P18" s="31">
        <v>0.2</v>
      </c>
      <c r="Q18" s="31">
        <v>1</v>
      </c>
      <c r="R18" s="26">
        <v>20</v>
      </c>
      <c r="S18" s="26">
        <v>10</v>
      </c>
      <c r="T18" s="26">
        <v>35</v>
      </c>
      <c r="U18" s="26" t="s">
        <v>121</v>
      </c>
      <c r="V18" s="26" t="s">
        <v>122</v>
      </c>
      <c r="W18" s="32" t="s">
        <v>123</v>
      </c>
      <c r="X18" s="37"/>
      <c r="Y18" s="25" t="s">
        <v>129</v>
      </c>
      <c r="Z18" s="26" t="s">
        <v>119</v>
      </c>
      <c r="AA18" s="26">
        <v>60</v>
      </c>
      <c r="AB18" s="26">
        <v>192</v>
      </c>
      <c r="AC18" s="31">
        <v>14</v>
      </c>
      <c r="AD18" s="31">
        <v>121</v>
      </c>
      <c r="AE18" s="26">
        <v>180</v>
      </c>
      <c r="AF18" s="31">
        <v>5</v>
      </c>
      <c r="AG18" s="31">
        <v>5</v>
      </c>
      <c r="AH18" s="31">
        <v>13</v>
      </c>
      <c r="AI18" s="31">
        <f>AH18-AG18</f>
        <v>8</v>
      </c>
      <c r="AJ18" s="31">
        <v>1.5</v>
      </c>
      <c r="AK18" s="35">
        <v>3</v>
      </c>
      <c r="AL18" s="31">
        <v>30</v>
      </c>
      <c r="AM18" s="31">
        <v>0.1</v>
      </c>
      <c r="AN18" s="31">
        <v>0.1</v>
      </c>
      <c r="AO18" s="31">
        <v>0.2</v>
      </c>
      <c r="AP18" s="26">
        <v>25</v>
      </c>
      <c r="AQ18" s="36">
        <v>12</v>
      </c>
      <c r="AR18" s="26">
        <v>17.5</v>
      </c>
      <c r="AS18" s="26" t="s">
        <v>121</v>
      </c>
      <c r="AT18" s="26" t="s">
        <v>122</v>
      </c>
      <c r="AU18" s="32" t="s">
        <v>123</v>
      </c>
      <c r="AV18" s="23"/>
      <c r="AW18" s="40" t="s">
        <v>125</v>
      </c>
      <c r="AX18" s="41" t="s">
        <v>119</v>
      </c>
      <c r="AY18" s="41">
        <v>96</v>
      </c>
      <c r="AZ18" s="41">
        <v>228</v>
      </c>
      <c r="BA18" s="51">
        <v>10</v>
      </c>
      <c r="BB18" s="42">
        <v>241</v>
      </c>
      <c r="BC18" s="42">
        <v>300</v>
      </c>
      <c r="BD18" s="44">
        <v>24</v>
      </c>
      <c r="BE18" s="44">
        <v>24</v>
      </c>
      <c r="BF18" s="46">
        <v>18</v>
      </c>
      <c r="BG18" s="44">
        <f t="shared" si="1"/>
        <v>-6</v>
      </c>
      <c r="BH18" s="42">
        <v>2</v>
      </c>
      <c r="BI18" s="42">
        <v>40</v>
      </c>
      <c r="BJ18" s="31">
        <v>0.1</v>
      </c>
      <c r="BK18" s="31">
        <v>0.1</v>
      </c>
      <c r="BL18" s="31">
        <v>0.2</v>
      </c>
      <c r="BM18" s="48">
        <v>4</v>
      </c>
      <c r="BN18" s="41">
        <v>36</v>
      </c>
      <c r="BO18" s="49">
        <v>18</v>
      </c>
      <c r="BP18" s="41">
        <v>17.5</v>
      </c>
      <c r="BQ18" s="41" t="s">
        <v>121</v>
      </c>
      <c r="BR18" s="41" t="s">
        <v>122</v>
      </c>
      <c r="BS18" s="43" t="s">
        <v>123</v>
      </c>
      <c r="BT18" s="18"/>
      <c r="BU18" s="18"/>
      <c r="BV18" s="18"/>
      <c r="BW18" s="18"/>
      <c r="BX18" s="18"/>
      <c r="BY18" s="18"/>
    </row>
    <row r="19" spans="1:77" ht="180.75" thickBot="1">
      <c r="A19" s="25" t="s">
        <v>128</v>
      </c>
      <c r="B19" s="26" t="s">
        <v>119</v>
      </c>
      <c r="C19" s="26">
        <v>60</v>
      </c>
      <c r="D19" s="26">
        <v>120</v>
      </c>
      <c r="E19" s="31">
        <v>8</v>
      </c>
      <c r="F19" s="31">
        <v>40</v>
      </c>
      <c r="G19" s="31">
        <v>96</v>
      </c>
      <c r="H19" s="31">
        <v>6</v>
      </c>
      <c r="I19" s="31">
        <v>6</v>
      </c>
      <c r="J19" s="31">
        <v>7</v>
      </c>
      <c r="K19" s="31">
        <f t="shared" si="3"/>
        <v>1</v>
      </c>
      <c r="L19" s="31">
        <v>1.5</v>
      </c>
      <c r="M19" s="31" t="s">
        <v>120</v>
      </c>
      <c r="N19" s="31">
        <v>0.1</v>
      </c>
      <c r="O19" s="31">
        <v>0.1</v>
      </c>
      <c r="P19" s="31">
        <v>0.2</v>
      </c>
      <c r="Q19" s="31">
        <v>1</v>
      </c>
      <c r="R19" s="26">
        <v>20</v>
      </c>
      <c r="S19" s="26">
        <v>10</v>
      </c>
      <c r="T19" s="26">
        <v>35</v>
      </c>
      <c r="U19" s="26" t="s">
        <v>121</v>
      </c>
      <c r="V19" s="26" t="s">
        <v>122</v>
      </c>
      <c r="W19" s="32" t="s">
        <v>123</v>
      </c>
      <c r="X19" s="37"/>
      <c r="Y19" s="25" t="s">
        <v>129</v>
      </c>
      <c r="Z19" s="26" t="s">
        <v>119</v>
      </c>
      <c r="AA19" s="26">
        <v>60</v>
      </c>
      <c r="AB19" s="26">
        <v>192</v>
      </c>
      <c r="AC19" s="31">
        <v>13</v>
      </c>
      <c r="AD19" s="31">
        <v>181</v>
      </c>
      <c r="AE19" s="26">
        <v>300</v>
      </c>
      <c r="AF19" s="31">
        <v>6</v>
      </c>
      <c r="AG19" s="31">
        <v>6</v>
      </c>
      <c r="AH19" s="31">
        <v>13</v>
      </c>
      <c r="AI19" s="31">
        <f t="shared" ref="AI19:AI26" si="4">AH19-AG19</f>
        <v>7</v>
      </c>
      <c r="AJ19" s="31">
        <v>2</v>
      </c>
      <c r="AK19" s="35">
        <v>3</v>
      </c>
      <c r="AL19" s="31">
        <v>40</v>
      </c>
      <c r="AM19" s="31">
        <v>0.1</v>
      </c>
      <c r="AN19" s="31">
        <v>0.1</v>
      </c>
      <c r="AO19" s="31">
        <v>0.2</v>
      </c>
      <c r="AP19" s="26">
        <v>30</v>
      </c>
      <c r="AQ19" s="36">
        <v>15</v>
      </c>
      <c r="AR19" s="26">
        <v>17.5</v>
      </c>
      <c r="AS19" s="26" t="s">
        <v>121</v>
      </c>
      <c r="AT19" s="26" t="s">
        <v>122</v>
      </c>
      <c r="AU19" s="32" t="s">
        <v>123</v>
      </c>
      <c r="AV19" s="23"/>
      <c r="AW19" s="23"/>
      <c r="AX19" s="23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18"/>
      <c r="BJ19" s="31"/>
      <c r="BK19" s="31"/>
      <c r="BL19" s="31"/>
      <c r="BM19" s="18"/>
      <c r="BN19" s="18"/>
      <c r="BO19" s="18"/>
      <c r="BP19" s="18"/>
      <c r="BQ19" s="22"/>
      <c r="BR19" s="18"/>
      <c r="BS19" s="18"/>
      <c r="BT19" s="18"/>
      <c r="BU19" s="18"/>
      <c r="BV19" s="18"/>
      <c r="BW19" s="18"/>
      <c r="BX19" s="18"/>
      <c r="BY19" s="18"/>
    </row>
    <row r="20" spans="1:77" ht="180.75" thickBot="1">
      <c r="A20" s="25" t="s">
        <v>128</v>
      </c>
      <c r="B20" s="26" t="s">
        <v>119</v>
      </c>
      <c r="C20" s="26">
        <v>60</v>
      </c>
      <c r="D20" s="26">
        <v>120</v>
      </c>
      <c r="E20" s="31">
        <v>7</v>
      </c>
      <c r="F20" s="31">
        <v>40</v>
      </c>
      <c r="G20" s="31">
        <v>96</v>
      </c>
      <c r="H20" s="31">
        <v>7</v>
      </c>
      <c r="I20" s="31">
        <v>7</v>
      </c>
      <c r="J20" s="31">
        <v>7</v>
      </c>
      <c r="K20" s="38">
        <f t="shared" si="3"/>
        <v>0</v>
      </c>
      <c r="L20" s="31">
        <v>1.5</v>
      </c>
      <c r="M20" s="31" t="s">
        <v>120</v>
      </c>
      <c r="N20" s="31">
        <v>0.1</v>
      </c>
      <c r="O20" s="31">
        <v>0.1</v>
      </c>
      <c r="P20" s="31">
        <v>0.2</v>
      </c>
      <c r="Q20" s="31">
        <v>1</v>
      </c>
      <c r="R20" s="26">
        <v>20</v>
      </c>
      <c r="S20" s="26">
        <v>10</v>
      </c>
      <c r="T20" s="26">
        <v>35</v>
      </c>
      <c r="U20" s="26" t="s">
        <v>121</v>
      </c>
      <c r="V20" s="26" t="s">
        <v>122</v>
      </c>
      <c r="W20" s="32" t="s">
        <v>123</v>
      </c>
      <c r="X20" s="37"/>
      <c r="Y20" s="25" t="s">
        <v>129</v>
      </c>
      <c r="Z20" s="26" t="s">
        <v>119</v>
      </c>
      <c r="AA20" s="26">
        <v>60</v>
      </c>
      <c r="AB20" s="26">
        <v>192</v>
      </c>
      <c r="AC20" s="31">
        <v>12</v>
      </c>
      <c r="AD20" s="31">
        <v>241</v>
      </c>
      <c r="AE20" s="26">
        <v>300</v>
      </c>
      <c r="AF20" s="31">
        <v>7</v>
      </c>
      <c r="AG20" s="31">
        <v>7</v>
      </c>
      <c r="AH20" s="31">
        <v>13</v>
      </c>
      <c r="AI20" s="31">
        <f t="shared" si="4"/>
        <v>6</v>
      </c>
      <c r="AJ20" s="31">
        <v>2</v>
      </c>
      <c r="AK20" s="35">
        <v>3</v>
      </c>
      <c r="AL20" s="31">
        <v>40</v>
      </c>
      <c r="AM20" s="31">
        <v>0.1</v>
      </c>
      <c r="AN20" s="31">
        <v>0.1</v>
      </c>
      <c r="AO20" s="31">
        <v>0.2</v>
      </c>
      <c r="AP20" s="26">
        <v>30</v>
      </c>
      <c r="AQ20" s="36">
        <v>15</v>
      </c>
      <c r="AR20" s="26">
        <v>17.5</v>
      </c>
      <c r="AS20" s="26" t="s">
        <v>121</v>
      </c>
      <c r="AT20" s="26" t="s">
        <v>122</v>
      </c>
      <c r="AU20" s="32" t="s">
        <v>123</v>
      </c>
      <c r="AV20" s="23"/>
      <c r="AW20" s="148" t="s">
        <v>130</v>
      </c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  <c r="BH20" s="149"/>
      <c r="BI20" s="149"/>
      <c r="BJ20" s="149"/>
      <c r="BK20" s="149"/>
      <c r="BL20" s="149"/>
      <c r="BM20" s="149"/>
      <c r="BN20" s="149"/>
      <c r="BO20" s="149"/>
      <c r="BP20" s="149"/>
      <c r="BQ20" s="149"/>
      <c r="BR20" s="149"/>
      <c r="BS20" s="150"/>
      <c r="BT20" s="22"/>
      <c r="BU20" s="22"/>
      <c r="BV20" s="22"/>
      <c r="BW20" s="22"/>
      <c r="BX20" s="22"/>
      <c r="BY20" s="18"/>
    </row>
    <row r="21" spans="1:77" ht="180">
      <c r="A21" s="25" t="s">
        <v>128</v>
      </c>
      <c r="B21" s="26" t="s">
        <v>119</v>
      </c>
      <c r="C21" s="26">
        <v>60</v>
      </c>
      <c r="D21" s="26">
        <v>120</v>
      </c>
      <c r="E21" s="31">
        <v>6</v>
      </c>
      <c r="F21" s="31">
        <v>40</v>
      </c>
      <c r="G21" s="31">
        <v>96</v>
      </c>
      <c r="H21" s="31">
        <v>7</v>
      </c>
      <c r="I21" s="31">
        <v>7</v>
      </c>
      <c r="J21" s="31">
        <v>7</v>
      </c>
      <c r="K21" s="38">
        <f t="shared" si="3"/>
        <v>0</v>
      </c>
      <c r="L21" s="31">
        <v>1.5</v>
      </c>
      <c r="M21" s="31" t="s">
        <v>120</v>
      </c>
      <c r="N21" s="31">
        <v>0.1</v>
      </c>
      <c r="O21" s="31">
        <v>0.1</v>
      </c>
      <c r="P21" s="31">
        <v>0.2</v>
      </c>
      <c r="Q21" s="31">
        <v>1</v>
      </c>
      <c r="R21" s="26">
        <v>20</v>
      </c>
      <c r="S21" s="26">
        <v>10</v>
      </c>
      <c r="T21" s="26">
        <v>35</v>
      </c>
      <c r="U21" s="26" t="s">
        <v>121</v>
      </c>
      <c r="V21" s="26" t="s">
        <v>122</v>
      </c>
      <c r="W21" s="32" t="s">
        <v>123</v>
      </c>
      <c r="X21" s="37"/>
      <c r="Y21" s="25" t="s">
        <v>129</v>
      </c>
      <c r="Z21" s="26" t="s">
        <v>119</v>
      </c>
      <c r="AA21" s="26">
        <v>60</v>
      </c>
      <c r="AB21" s="26">
        <v>192</v>
      </c>
      <c r="AC21" s="31">
        <v>11</v>
      </c>
      <c r="AD21" s="31">
        <v>241</v>
      </c>
      <c r="AE21" s="26">
        <v>300</v>
      </c>
      <c r="AF21" s="31">
        <v>8</v>
      </c>
      <c r="AG21" s="31">
        <v>8</v>
      </c>
      <c r="AH21" s="31">
        <v>13</v>
      </c>
      <c r="AI21" s="31">
        <f t="shared" si="4"/>
        <v>5</v>
      </c>
      <c r="AJ21" s="31">
        <v>2</v>
      </c>
      <c r="AK21" s="35">
        <v>3</v>
      </c>
      <c r="AL21" s="31">
        <v>40</v>
      </c>
      <c r="AM21" s="31">
        <v>0.1</v>
      </c>
      <c r="AN21" s="31">
        <v>0.1</v>
      </c>
      <c r="AO21" s="31">
        <v>0.2</v>
      </c>
      <c r="AP21" s="26">
        <v>30</v>
      </c>
      <c r="AQ21" s="36">
        <v>15</v>
      </c>
      <c r="AR21" s="26">
        <v>17.5</v>
      </c>
      <c r="AS21" s="26" t="s">
        <v>121</v>
      </c>
      <c r="AT21" s="26" t="s">
        <v>122</v>
      </c>
      <c r="AU21" s="32" t="s">
        <v>123</v>
      </c>
      <c r="AV21" s="23"/>
      <c r="AW21" s="25" t="s">
        <v>92</v>
      </c>
      <c r="AX21" s="26" t="s">
        <v>131</v>
      </c>
      <c r="AY21" s="26" t="s">
        <v>94</v>
      </c>
      <c r="AZ21" s="26" t="s">
        <v>95</v>
      </c>
      <c r="BA21" s="27" t="s">
        <v>113</v>
      </c>
      <c r="BB21" s="27" t="s">
        <v>97</v>
      </c>
      <c r="BC21" s="27" t="s">
        <v>98</v>
      </c>
      <c r="BD21" s="27" t="s">
        <v>114</v>
      </c>
      <c r="BE21" s="27" t="s">
        <v>115</v>
      </c>
      <c r="BF21" s="27" t="s">
        <v>101</v>
      </c>
      <c r="BG21" s="28" t="s">
        <v>102</v>
      </c>
      <c r="BH21" s="27" t="s">
        <v>116</v>
      </c>
      <c r="BI21" s="27" t="s">
        <v>104</v>
      </c>
      <c r="BJ21" s="138" t="s">
        <v>180</v>
      </c>
      <c r="BK21" s="138" t="s">
        <v>181</v>
      </c>
      <c r="BL21" s="138" t="s">
        <v>182</v>
      </c>
      <c r="BM21" s="27" t="s">
        <v>105</v>
      </c>
      <c r="BN21" s="26" t="s">
        <v>106</v>
      </c>
      <c r="BO21" s="26" t="s">
        <v>107</v>
      </c>
      <c r="BP21" s="29" t="s">
        <v>108</v>
      </c>
      <c r="BQ21" s="29" t="s">
        <v>109</v>
      </c>
      <c r="BR21" s="29" t="s">
        <v>110</v>
      </c>
      <c r="BS21" s="30" t="s">
        <v>111</v>
      </c>
      <c r="BT21" s="18"/>
      <c r="BU21" s="18"/>
      <c r="BV21" s="18"/>
      <c r="BW21" s="18"/>
      <c r="BX21" s="18"/>
      <c r="BY21" s="18"/>
    </row>
    <row r="22" spans="1:77" ht="180">
      <c r="A22" s="25" t="s">
        <v>128</v>
      </c>
      <c r="B22" s="26" t="s">
        <v>119</v>
      </c>
      <c r="C22" s="26">
        <v>60</v>
      </c>
      <c r="D22" s="26">
        <v>120</v>
      </c>
      <c r="E22" s="31">
        <v>5</v>
      </c>
      <c r="F22" s="31">
        <v>40</v>
      </c>
      <c r="G22" s="31">
        <v>96</v>
      </c>
      <c r="H22" s="31">
        <v>7</v>
      </c>
      <c r="I22" s="31">
        <v>7</v>
      </c>
      <c r="J22" s="31">
        <v>7</v>
      </c>
      <c r="K22" s="38">
        <f t="shared" si="3"/>
        <v>0</v>
      </c>
      <c r="L22" s="31">
        <v>1.5</v>
      </c>
      <c r="M22" s="31" t="s">
        <v>120</v>
      </c>
      <c r="N22" s="31">
        <v>0.1</v>
      </c>
      <c r="O22" s="31">
        <v>0.1</v>
      </c>
      <c r="P22" s="31">
        <v>0.2</v>
      </c>
      <c r="Q22" s="31">
        <v>1</v>
      </c>
      <c r="R22" s="26">
        <v>20</v>
      </c>
      <c r="S22" s="26">
        <v>10</v>
      </c>
      <c r="T22" s="26">
        <v>35</v>
      </c>
      <c r="U22" s="26" t="s">
        <v>121</v>
      </c>
      <c r="V22" s="26" t="s">
        <v>122</v>
      </c>
      <c r="W22" s="32" t="s">
        <v>123</v>
      </c>
      <c r="X22" s="37"/>
      <c r="Y22" s="25" t="s">
        <v>129</v>
      </c>
      <c r="Z22" s="26" t="s">
        <v>119</v>
      </c>
      <c r="AA22" s="26">
        <v>60</v>
      </c>
      <c r="AB22" s="26">
        <v>192</v>
      </c>
      <c r="AC22" s="31">
        <v>10</v>
      </c>
      <c r="AD22" s="31">
        <v>241</v>
      </c>
      <c r="AE22" s="26">
        <v>300</v>
      </c>
      <c r="AF22" s="31">
        <v>9</v>
      </c>
      <c r="AG22" s="31">
        <v>9</v>
      </c>
      <c r="AH22" s="31">
        <v>13</v>
      </c>
      <c r="AI22" s="31">
        <f t="shared" si="4"/>
        <v>4</v>
      </c>
      <c r="AJ22" s="31">
        <v>2</v>
      </c>
      <c r="AK22" s="35">
        <v>3</v>
      </c>
      <c r="AL22" s="31">
        <v>40</v>
      </c>
      <c r="AM22" s="31">
        <v>0.1</v>
      </c>
      <c r="AN22" s="31">
        <v>0.1</v>
      </c>
      <c r="AO22" s="31">
        <v>0.2</v>
      </c>
      <c r="AP22" s="26">
        <v>30</v>
      </c>
      <c r="AQ22" s="36">
        <v>15</v>
      </c>
      <c r="AR22" s="26">
        <v>17.5</v>
      </c>
      <c r="AS22" s="26" t="s">
        <v>121</v>
      </c>
      <c r="AT22" s="26" t="s">
        <v>122</v>
      </c>
      <c r="AU22" s="32" t="s">
        <v>123</v>
      </c>
      <c r="AV22" s="23"/>
      <c r="AW22" s="52" t="s">
        <v>132</v>
      </c>
      <c r="AX22" s="26" t="s">
        <v>119</v>
      </c>
      <c r="AY22" s="26">
        <v>96</v>
      </c>
      <c r="AZ22" s="26">
        <v>228</v>
      </c>
      <c r="BA22" s="31">
        <v>25</v>
      </c>
      <c r="BB22" s="31">
        <v>120</v>
      </c>
      <c r="BC22" s="31">
        <v>180</v>
      </c>
      <c r="BD22" s="31">
        <v>10</v>
      </c>
      <c r="BE22" s="31">
        <v>10</v>
      </c>
      <c r="BF22" s="31">
        <v>18</v>
      </c>
      <c r="BG22" s="31">
        <f>BF22-BE22</f>
        <v>8</v>
      </c>
      <c r="BH22" s="31">
        <v>1.5</v>
      </c>
      <c r="BI22" s="31">
        <v>30</v>
      </c>
      <c r="BJ22" s="31">
        <v>0.1</v>
      </c>
      <c r="BK22" s="31">
        <v>0.1</v>
      </c>
      <c r="BL22" s="31">
        <v>0.2</v>
      </c>
      <c r="BM22" s="35">
        <v>3</v>
      </c>
      <c r="BN22" s="26">
        <v>25</v>
      </c>
      <c r="BO22" s="36">
        <v>12</v>
      </c>
      <c r="BP22" s="26">
        <v>17.5</v>
      </c>
      <c r="BQ22" s="26" t="s">
        <v>121</v>
      </c>
      <c r="BR22" s="26" t="s">
        <v>122</v>
      </c>
      <c r="BS22" s="32" t="s">
        <v>123</v>
      </c>
      <c r="BT22" s="18"/>
      <c r="BU22" s="18"/>
      <c r="BV22" s="18"/>
      <c r="BW22" s="18"/>
      <c r="BX22" s="18"/>
      <c r="BY22" s="18"/>
    </row>
    <row r="23" spans="1:77" ht="180.75" thickBot="1">
      <c r="A23" s="40" t="s">
        <v>128</v>
      </c>
      <c r="B23" s="41" t="s">
        <v>119</v>
      </c>
      <c r="C23" s="41">
        <v>60</v>
      </c>
      <c r="D23" s="41">
        <v>120</v>
      </c>
      <c r="E23" s="42">
        <v>4</v>
      </c>
      <c r="F23" s="42">
        <v>40</v>
      </c>
      <c r="G23" s="42">
        <v>96</v>
      </c>
      <c r="H23" s="42">
        <v>7</v>
      </c>
      <c r="I23" s="42">
        <v>7</v>
      </c>
      <c r="J23" s="42">
        <v>7</v>
      </c>
      <c r="K23" s="38">
        <f t="shared" si="3"/>
        <v>0</v>
      </c>
      <c r="L23" s="42">
        <v>1.5</v>
      </c>
      <c r="M23" s="42" t="s">
        <v>120</v>
      </c>
      <c r="N23" s="31">
        <v>0.1</v>
      </c>
      <c r="O23" s="31">
        <v>0.1</v>
      </c>
      <c r="P23" s="31">
        <v>0.2</v>
      </c>
      <c r="Q23" s="42">
        <v>1</v>
      </c>
      <c r="R23" s="41">
        <v>20</v>
      </c>
      <c r="S23" s="41">
        <v>10</v>
      </c>
      <c r="T23" s="41">
        <v>35</v>
      </c>
      <c r="U23" s="41" t="s">
        <v>121</v>
      </c>
      <c r="V23" s="41" t="s">
        <v>122</v>
      </c>
      <c r="W23" s="43" t="s">
        <v>123</v>
      </c>
      <c r="X23" s="37"/>
      <c r="Y23" s="25" t="s">
        <v>129</v>
      </c>
      <c r="Z23" s="26" t="s">
        <v>119</v>
      </c>
      <c r="AA23" s="26">
        <v>60</v>
      </c>
      <c r="AB23" s="26">
        <v>192</v>
      </c>
      <c r="AC23" s="31">
        <v>9</v>
      </c>
      <c r="AD23" s="31">
        <v>241</v>
      </c>
      <c r="AE23" s="26">
        <v>300</v>
      </c>
      <c r="AF23" s="31">
        <v>10</v>
      </c>
      <c r="AG23" s="31">
        <v>10</v>
      </c>
      <c r="AH23" s="31">
        <v>13</v>
      </c>
      <c r="AI23" s="31">
        <f t="shared" si="4"/>
        <v>3</v>
      </c>
      <c r="AJ23" s="31">
        <v>2</v>
      </c>
      <c r="AK23" s="35">
        <v>3</v>
      </c>
      <c r="AL23" s="31">
        <v>40</v>
      </c>
      <c r="AM23" s="31">
        <v>0.1</v>
      </c>
      <c r="AN23" s="31">
        <v>0.1</v>
      </c>
      <c r="AO23" s="31">
        <v>0.2</v>
      </c>
      <c r="AP23" s="26">
        <v>30</v>
      </c>
      <c r="AQ23" s="36">
        <v>15</v>
      </c>
      <c r="AR23" s="26">
        <v>17.5</v>
      </c>
      <c r="AS23" s="26" t="s">
        <v>121</v>
      </c>
      <c r="AT23" s="26" t="s">
        <v>122</v>
      </c>
      <c r="AU23" s="32" t="s">
        <v>123</v>
      </c>
      <c r="AV23" s="23"/>
      <c r="AW23" s="52" t="s">
        <v>132</v>
      </c>
      <c r="AX23" s="26" t="s">
        <v>119</v>
      </c>
      <c r="AY23" s="26">
        <v>96</v>
      </c>
      <c r="AZ23" s="26">
        <v>228</v>
      </c>
      <c r="BA23" s="31">
        <v>24</v>
      </c>
      <c r="BB23" s="31">
        <v>180</v>
      </c>
      <c r="BC23" s="31">
        <v>240</v>
      </c>
      <c r="BD23" s="31">
        <v>11</v>
      </c>
      <c r="BE23" s="31">
        <v>11</v>
      </c>
      <c r="BF23" s="31">
        <v>18</v>
      </c>
      <c r="BG23" s="31">
        <f t="shared" ref="BG23:BG35" si="5">BF23-BE23</f>
        <v>7</v>
      </c>
      <c r="BH23" s="31">
        <v>1.5</v>
      </c>
      <c r="BI23" s="31">
        <v>35</v>
      </c>
      <c r="BJ23" s="31">
        <v>0.1</v>
      </c>
      <c r="BK23" s="31">
        <v>0.1</v>
      </c>
      <c r="BL23" s="31">
        <v>0.2</v>
      </c>
      <c r="BM23" s="35">
        <v>3</v>
      </c>
      <c r="BN23" s="26">
        <v>30</v>
      </c>
      <c r="BO23" s="36">
        <v>15</v>
      </c>
      <c r="BP23" s="26">
        <v>17.5</v>
      </c>
      <c r="BQ23" s="26" t="s">
        <v>121</v>
      </c>
      <c r="BR23" s="26" t="s">
        <v>122</v>
      </c>
      <c r="BS23" s="32" t="s">
        <v>123</v>
      </c>
      <c r="BT23" s="18"/>
      <c r="BU23" s="18"/>
      <c r="BV23" s="18"/>
      <c r="BW23" s="18"/>
      <c r="BX23" s="18"/>
      <c r="BY23" s="18"/>
    </row>
    <row r="24" spans="1:77" ht="180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31">
        <v>0.1</v>
      </c>
      <c r="O24" s="31">
        <v>0.1</v>
      </c>
      <c r="P24" s="31">
        <v>0.2</v>
      </c>
      <c r="Q24" s="18"/>
      <c r="R24" s="18"/>
      <c r="S24" s="18"/>
      <c r="T24" s="18"/>
      <c r="U24" s="18"/>
      <c r="V24" s="18"/>
      <c r="W24" s="18"/>
      <c r="X24" s="18"/>
      <c r="Y24" s="25" t="s">
        <v>129</v>
      </c>
      <c r="Z24" s="26" t="s">
        <v>119</v>
      </c>
      <c r="AA24" s="26">
        <v>60</v>
      </c>
      <c r="AB24" s="26">
        <v>192</v>
      </c>
      <c r="AC24" s="31">
        <v>8</v>
      </c>
      <c r="AD24" s="31">
        <v>241</v>
      </c>
      <c r="AE24" s="26">
        <v>300</v>
      </c>
      <c r="AF24" s="31">
        <v>11</v>
      </c>
      <c r="AG24" s="31">
        <v>11</v>
      </c>
      <c r="AH24" s="31">
        <v>13</v>
      </c>
      <c r="AI24" s="31">
        <f t="shared" si="4"/>
        <v>2</v>
      </c>
      <c r="AJ24" s="31">
        <v>2</v>
      </c>
      <c r="AK24" s="35">
        <v>3</v>
      </c>
      <c r="AL24" s="31">
        <v>40</v>
      </c>
      <c r="AM24" s="31">
        <v>0.1</v>
      </c>
      <c r="AN24" s="31">
        <v>0.1</v>
      </c>
      <c r="AO24" s="31">
        <v>0.2</v>
      </c>
      <c r="AP24" s="26">
        <v>30</v>
      </c>
      <c r="AQ24" s="36">
        <v>15</v>
      </c>
      <c r="AR24" s="26">
        <v>17.5</v>
      </c>
      <c r="AS24" s="26" t="s">
        <v>121</v>
      </c>
      <c r="AT24" s="26" t="s">
        <v>122</v>
      </c>
      <c r="AU24" s="32" t="s">
        <v>123</v>
      </c>
      <c r="AV24" s="23"/>
      <c r="AW24" s="52" t="s">
        <v>132</v>
      </c>
      <c r="AX24" s="26" t="s">
        <v>119</v>
      </c>
      <c r="AY24" s="26">
        <v>96</v>
      </c>
      <c r="AZ24" s="26">
        <v>228</v>
      </c>
      <c r="BA24" s="31">
        <v>23</v>
      </c>
      <c r="BB24" s="31">
        <v>241</v>
      </c>
      <c r="BC24" s="31">
        <v>300</v>
      </c>
      <c r="BD24" s="31">
        <v>12</v>
      </c>
      <c r="BE24" s="31">
        <v>12</v>
      </c>
      <c r="BF24" s="31">
        <v>18</v>
      </c>
      <c r="BG24" s="31">
        <f t="shared" si="5"/>
        <v>6</v>
      </c>
      <c r="BH24" s="31">
        <v>2</v>
      </c>
      <c r="BI24" s="31">
        <v>40</v>
      </c>
      <c r="BJ24" s="31">
        <v>0.1</v>
      </c>
      <c r="BK24" s="31">
        <v>0.1</v>
      </c>
      <c r="BL24" s="31">
        <v>0.2</v>
      </c>
      <c r="BM24" s="35">
        <v>4</v>
      </c>
      <c r="BN24" s="26">
        <v>36</v>
      </c>
      <c r="BO24" s="36">
        <v>18</v>
      </c>
      <c r="BP24" s="26">
        <v>17.5</v>
      </c>
      <c r="BQ24" s="26" t="s">
        <v>121</v>
      </c>
      <c r="BR24" s="26" t="s">
        <v>122</v>
      </c>
      <c r="BS24" s="32" t="s">
        <v>123</v>
      </c>
      <c r="BT24" s="18"/>
      <c r="BU24" s="18"/>
      <c r="BV24" s="18"/>
      <c r="BW24" s="18"/>
      <c r="BX24" s="18"/>
      <c r="BY24" s="18"/>
    </row>
    <row r="25" spans="1:77" ht="180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31">
        <v>0.1</v>
      </c>
      <c r="O25" s="31">
        <v>0.1</v>
      </c>
      <c r="P25" s="31">
        <v>0.2</v>
      </c>
      <c r="Q25" s="18"/>
      <c r="R25" s="18"/>
      <c r="S25" s="18"/>
      <c r="T25" s="18"/>
      <c r="U25" s="18"/>
      <c r="V25" s="18"/>
      <c r="W25" s="18"/>
      <c r="X25" s="18"/>
      <c r="Y25" s="25" t="s">
        <v>129</v>
      </c>
      <c r="Z25" s="26" t="s">
        <v>119</v>
      </c>
      <c r="AA25" s="26">
        <v>60</v>
      </c>
      <c r="AB25" s="26">
        <v>192</v>
      </c>
      <c r="AC25" s="31">
        <v>7</v>
      </c>
      <c r="AD25" s="31">
        <v>241</v>
      </c>
      <c r="AE25" s="26">
        <v>300</v>
      </c>
      <c r="AF25" s="31">
        <v>12</v>
      </c>
      <c r="AG25" s="31">
        <v>12</v>
      </c>
      <c r="AH25" s="31">
        <v>13</v>
      </c>
      <c r="AI25" s="31">
        <f t="shared" si="4"/>
        <v>1</v>
      </c>
      <c r="AJ25" s="31">
        <v>2</v>
      </c>
      <c r="AK25" s="35">
        <v>3</v>
      </c>
      <c r="AL25" s="31">
        <v>40</v>
      </c>
      <c r="AM25" s="31">
        <v>0.1</v>
      </c>
      <c r="AN25" s="31">
        <v>0.1</v>
      </c>
      <c r="AO25" s="31">
        <v>0.2</v>
      </c>
      <c r="AP25" s="26">
        <v>30</v>
      </c>
      <c r="AQ25" s="36">
        <v>15</v>
      </c>
      <c r="AR25" s="26">
        <v>17.5</v>
      </c>
      <c r="AS25" s="26" t="s">
        <v>121</v>
      </c>
      <c r="AT25" s="26" t="s">
        <v>122</v>
      </c>
      <c r="AU25" s="32" t="s">
        <v>123</v>
      </c>
      <c r="AV25" s="23"/>
      <c r="AW25" s="52" t="s">
        <v>132</v>
      </c>
      <c r="AX25" s="26" t="s">
        <v>119</v>
      </c>
      <c r="AY25" s="26">
        <v>96</v>
      </c>
      <c r="AZ25" s="26">
        <v>228</v>
      </c>
      <c r="BA25" s="31">
        <v>22</v>
      </c>
      <c r="BB25" s="31">
        <v>241</v>
      </c>
      <c r="BC25" s="31">
        <v>300</v>
      </c>
      <c r="BD25" s="31">
        <v>13</v>
      </c>
      <c r="BE25" s="31">
        <v>13</v>
      </c>
      <c r="BF25" s="31">
        <v>18</v>
      </c>
      <c r="BG25" s="31">
        <f t="shared" si="5"/>
        <v>5</v>
      </c>
      <c r="BH25" s="31">
        <v>2</v>
      </c>
      <c r="BI25" s="31">
        <v>40</v>
      </c>
      <c r="BJ25" s="31">
        <v>0.1</v>
      </c>
      <c r="BK25" s="31">
        <v>0.1</v>
      </c>
      <c r="BL25" s="31">
        <v>0.2</v>
      </c>
      <c r="BM25" s="35">
        <v>4</v>
      </c>
      <c r="BN25" s="26">
        <v>36</v>
      </c>
      <c r="BO25" s="36">
        <v>18</v>
      </c>
      <c r="BP25" s="26">
        <v>17.5</v>
      </c>
      <c r="BQ25" s="26" t="s">
        <v>121</v>
      </c>
      <c r="BR25" s="26" t="s">
        <v>122</v>
      </c>
      <c r="BS25" s="32" t="s">
        <v>123</v>
      </c>
      <c r="BT25" s="18"/>
      <c r="BU25" s="18"/>
      <c r="BV25" s="18"/>
      <c r="BW25" s="18"/>
      <c r="BX25" s="18"/>
      <c r="BY25" s="18"/>
    </row>
    <row r="26" spans="1:77" ht="180.75" thickBo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31">
        <v>0.1</v>
      </c>
      <c r="O26" s="31">
        <v>0.1</v>
      </c>
      <c r="P26" s="31">
        <v>0.2</v>
      </c>
      <c r="Q26" s="18"/>
      <c r="R26" s="18"/>
      <c r="S26" s="18"/>
      <c r="T26" s="18"/>
      <c r="U26" s="18"/>
      <c r="V26" s="18"/>
      <c r="W26" s="18"/>
      <c r="X26" s="18"/>
      <c r="Y26" s="40" t="s">
        <v>129</v>
      </c>
      <c r="Z26" s="41" t="s">
        <v>119</v>
      </c>
      <c r="AA26" s="41">
        <v>60</v>
      </c>
      <c r="AB26" s="41">
        <v>192</v>
      </c>
      <c r="AC26" s="42">
        <v>6</v>
      </c>
      <c r="AD26" s="42">
        <v>241</v>
      </c>
      <c r="AE26" s="41">
        <v>300</v>
      </c>
      <c r="AF26" s="42">
        <v>12</v>
      </c>
      <c r="AG26" s="42">
        <v>12</v>
      </c>
      <c r="AH26" s="42">
        <v>13</v>
      </c>
      <c r="AI26" s="31">
        <f t="shared" si="4"/>
        <v>1</v>
      </c>
      <c r="AJ26" s="42">
        <v>2</v>
      </c>
      <c r="AK26" s="48">
        <v>3</v>
      </c>
      <c r="AL26" s="42">
        <v>40</v>
      </c>
      <c r="AM26" s="31">
        <v>0.1</v>
      </c>
      <c r="AN26" s="31">
        <v>0.1</v>
      </c>
      <c r="AO26" s="31">
        <v>0.2</v>
      </c>
      <c r="AP26" s="41">
        <v>30</v>
      </c>
      <c r="AQ26" s="49">
        <v>15</v>
      </c>
      <c r="AR26" s="41">
        <v>17.5</v>
      </c>
      <c r="AS26" s="41" t="s">
        <v>121</v>
      </c>
      <c r="AT26" s="41" t="s">
        <v>122</v>
      </c>
      <c r="AU26" s="43" t="s">
        <v>123</v>
      </c>
      <c r="AV26" s="23"/>
      <c r="AW26" s="52" t="s">
        <v>132</v>
      </c>
      <c r="AX26" s="26" t="s">
        <v>119</v>
      </c>
      <c r="AY26" s="26">
        <v>96</v>
      </c>
      <c r="AZ26" s="26">
        <v>228</v>
      </c>
      <c r="BA26" s="31">
        <v>21</v>
      </c>
      <c r="BB26" s="31">
        <v>241</v>
      </c>
      <c r="BC26" s="31">
        <v>300</v>
      </c>
      <c r="BD26" s="31">
        <v>14</v>
      </c>
      <c r="BE26" s="31">
        <v>14</v>
      </c>
      <c r="BF26" s="31">
        <v>18</v>
      </c>
      <c r="BG26" s="31">
        <f t="shared" si="5"/>
        <v>4</v>
      </c>
      <c r="BH26" s="31">
        <v>2</v>
      </c>
      <c r="BI26" s="31">
        <v>40</v>
      </c>
      <c r="BJ26" s="31">
        <v>0.1</v>
      </c>
      <c r="BK26" s="31">
        <v>0.1</v>
      </c>
      <c r="BL26" s="31">
        <v>0.2</v>
      </c>
      <c r="BM26" s="35">
        <v>4</v>
      </c>
      <c r="BN26" s="26">
        <v>36</v>
      </c>
      <c r="BO26" s="36">
        <v>18</v>
      </c>
      <c r="BP26" s="26">
        <v>17.5</v>
      </c>
      <c r="BQ26" s="26" t="s">
        <v>121</v>
      </c>
      <c r="BR26" s="26" t="s">
        <v>122</v>
      </c>
      <c r="BS26" s="32" t="s">
        <v>123</v>
      </c>
      <c r="BT26" s="18"/>
      <c r="BU26" s="18"/>
      <c r="BV26" s="18"/>
      <c r="BW26" s="18"/>
      <c r="BX26" s="18"/>
      <c r="BY26" s="18"/>
    </row>
    <row r="27" spans="1:77" ht="180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55"/>
      <c r="O27" s="55"/>
      <c r="P27" s="55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23"/>
      <c r="AB27" s="23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55"/>
      <c r="AN27" s="55"/>
      <c r="AO27" s="55"/>
      <c r="AP27" s="18"/>
      <c r="AQ27" s="23"/>
      <c r="AR27" s="23"/>
      <c r="AS27" s="23"/>
      <c r="AT27" s="23"/>
      <c r="AU27" s="23"/>
      <c r="AV27" s="23"/>
      <c r="AW27" s="52" t="s">
        <v>132</v>
      </c>
      <c r="AX27" s="26" t="s">
        <v>119</v>
      </c>
      <c r="AY27" s="26">
        <v>96</v>
      </c>
      <c r="AZ27" s="26">
        <v>228</v>
      </c>
      <c r="BA27" s="31">
        <v>20</v>
      </c>
      <c r="BB27" s="31">
        <v>241</v>
      </c>
      <c r="BC27" s="31">
        <v>300</v>
      </c>
      <c r="BD27" s="31">
        <v>15</v>
      </c>
      <c r="BE27" s="31">
        <v>15</v>
      </c>
      <c r="BF27" s="31">
        <v>18</v>
      </c>
      <c r="BG27" s="31">
        <f t="shared" si="5"/>
        <v>3</v>
      </c>
      <c r="BH27" s="31">
        <v>2</v>
      </c>
      <c r="BI27" s="31">
        <v>40</v>
      </c>
      <c r="BJ27" s="31">
        <v>0.1</v>
      </c>
      <c r="BK27" s="31">
        <v>0.1</v>
      </c>
      <c r="BL27" s="31">
        <v>0.2</v>
      </c>
      <c r="BM27" s="35">
        <v>4</v>
      </c>
      <c r="BN27" s="26">
        <v>36</v>
      </c>
      <c r="BO27" s="36">
        <v>18</v>
      </c>
      <c r="BP27" s="26">
        <v>17.5</v>
      </c>
      <c r="BQ27" s="26" t="s">
        <v>121</v>
      </c>
      <c r="BR27" s="26" t="s">
        <v>122</v>
      </c>
      <c r="BS27" s="32" t="s">
        <v>123</v>
      </c>
      <c r="BT27" s="18"/>
      <c r="BU27" s="18"/>
      <c r="BV27" s="18"/>
      <c r="BW27" s="18"/>
      <c r="BX27" s="18"/>
      <c r="BY27" s="18"/>
    </row>
    <row r="28" spans="1:77" ht="180.75" thickBo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55"/>
      <c r="O28" s="55"/>
      <c r="P28" s="55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23"/>
      <c r="AB28" s="23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55"/>
      <c r="AN28" s="55"/>
      <c r="AO28" s="55"/>
      <c r="AP28" s="18"/>
      <c r="AQ28" s="23"/>
      <c r="AR28" s="23"/>
      <c r="AS28" s="23"/>
      <c r="AT28" s="23"/>
      <c r="AU28" s="23"/>
      <c r="AV28" s="23"/>
      <c r="AW28" s="52" t="s">
        <v>132</v>
      </c>
      <c r="AX28" s="26" t="s">
        <v>119</v>
      </c>
      <c r="AY28" s="26">
        <v>96</v>
      </c>
      <c r="AZ28" s="26">
        <v>228</v>
      </c>
      <c r="BA28" s="31">
        <v>19</v>
      </c>
      <c r="BB28" s="31">
        <v>241</v>
      </c>
      <c r="BC28" s="31">
        <v>300</v>
      </c>
      <c r="BD28" s="31">
        <v>16</v>
      </c>
      <c r="BE28" s="31">
        <v>16</v>
      </c>
      <c r="BF28" s="31">
        <v>18</v>
      </c>
      <c r="BG28" s="31">
        <f t="shared" si="5"/>
        <v>2</v>
      </c>
      <c r="BH28" s="31">
        <v>2</v>
      </c>
      <c r="BI28" s="31">
        <v>40</v>
      </c>
      <c r="BJ28" s="31">
        <v>0.1</v>
      </c>
      <c r="BK28" s="31">
        <v>0.1</v>
      </c>
      <c r="BL28" s="31">
        <v>0.2</v>
      </c>
      <c r="BM28" s="35">
        <v>4</v>
      </c>
      <c r="BN28" s="26">
        <v>36</v>
      </c>
      <c r="BO28" s="36">
        <v>18</v>
      </c>
      <c r="BP28" s="26">
        <v>17.5</v>
      </c>
      <c r="BQ28" s="26" t="s">
        <v>121</v>
      </c>
      <c r="BR28" s="26" t="s">
        <v>122</v>
      </c>
      <c r="BS28" s="32" t="s">
        <v>123</v>
      </c>
      <c r="BT28" s="18"/>
      <c r="BU28" s="18"/>
      <c r="BV28" s="18"/>
      <c r="BW28" s="18"/>
      <c r="BX28" s="18"/>
      <c r="BY28" s="18"/>
    </row>
    <row r="29" spans="1:77" ht="180.75" thickBo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55"/>
      <c r="O29" s="55"/>
      <c r="P29" s="55"/>
      <c r="Q29" s="18"/>
      <c r="R29" s="18"/>
      <c r="S29" s="18"/>
      <c r="T29" s="18"/>
      <c r="U29" s="18"/>
      <c r="V29" s="18"/>
      <c r="W29" s="18"/>
      <c r="X29" s="18"/>
      <c r="Y29" s="142" t="s">
        <v>133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4"/>
      <c r="AV29" s="23"/>
      <c r="AW29" s="52" t="s">
        <v>132</v>
      </c>
      <c r="AX29" s="26" t="s">
        <v>119</v>
      </c>
      <c r="AY29" s="26">
        <v>96</v>
      </c>
      <c r="AZ29" s="26">
        <v>228</v>
      </c>
      <c r="BA29" s="31">
        <v>18</v>
      </c>
      <c r="BB29" s="31">
        <v>241</v>
      </c>
      <c r="BC29" s="31">
        <v>300</v>
      </c>
      <c r="BD29" s="31">
        <v>17</v>
      </c>
      <c r="BE29" s="31">
        <v>17</v>
      </c>
      <c r="BF29" s="31">
        <v>18</v>
      </c>
      <c r="BG29" s="31">
        <f t="shared" si="5"/>
        <v>1</v>
      </c>
      <c r="BH29" s="31">
        <v>2</v>
      </c>
      <c r="BI29" s="31">
        <v>40</v>
      </c>
      <c r="BJ29" s="31">
        <v>0.1</v>
      </c>
      <c r="BK29" s="31">
        <v>0.1</v>
      </c>
      <c r="BL29" s="31">
        <v>0.2</v>
      </c>
      <c r="BM29" s="35">
        <v>4</v>
      </c>
      <c r="BN29" s="26">
        <v>36</v>
      </c>
      <c r="BO29" s="36">
        <v>18</v>
      </c>
      <c r="BP29" s="26">
        <v>17.5</v>
      </c>
      <c r="BQ29" s="26" t="s">
        <v>121</v>
      </c>
      <c r="BR29" s="26" t="s">
        <v>122</v>
      </c>
      <c r="BS29" s="32" t="s">
        <v>123</v>
      </c>
      <c r="BT29" s="18"/>
      <c r="BU29" s="18"/>
      <c r="BV29" s="18"/>
      <c r="BW29" s="18"/>
      <c r="BX29" s="18"/>
      <c r="BY29" s="18"/>
    </row>
    <row r="30" spans="1:77" ht="180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55"/>
      <c r="O30" s="55"/>
      <c r="P30" s="55"/>
      <c r="Q30" s="18"/>
      <c r="R30" s="18"/>
      <c r="S30" s="18"/>
      <c r="T30" s="18"/>
      <c r="U30" s="18"/>
      <c r="V30" s="18"/>
      <c r="W30" s="18"/>
      <c r="X30" s="18"/>
      <c r="Y30" s="25" t="s">
        <v>112</v>
      </c>
      <c r="Z30" s="26" t="s">
        <v>93</v>
      </c>
      <c r="AA30" s="26" t="s">
        <v>94</v>
      </c>
      <c r="AB30" s="26" t="s">
        <v>95</v>
      </c>
      <c r="AC30" s="27" t="s">
        <v>113</v>
      </c>
      <c r="AD30" s="27" t="s">
        <v>97</v>
      </c>
      <c r="AE30" s="27" t="s">
        <v>98</v>
      </c>
      <c r="AF30" s="27" t="s">
        <v>99</v>
      </c>
      <c r="AG30" s="27" t="s">
        <v>100</v>
      </c>
      <c r="AH30" s="27" t="s">
        <v>134</v>
      </c>
      <c r="AI30" s="28" t="s">
        <v>102</v>
      </c>
      <c r="AJ30" s="27" t="s">
        <v>116</v>
      </c>
      <c r="AK30" s="27" t="s">
        <v>105</v>
      </c>
      <c r="AL30" s="27" t="s">
        <v>104</v>
      </c>
      <c r="AM30" s="138" t="s">
        <v>180</v>
      </c>
      <c r="AN30" s="138" t="s">
        <v>181</v>
      </c>
      <c r="AO30" s="138" t="s">
        <v>182</v>
      </c>
      <c r="AP30" s="26" t="s">
        <v>106</v>
      </c>
      <c r="AQ30" s="26" t="s">
        <v>107</v>
      </c>
      <c r="AR30" s="29" t="s">
        <v>108</v>
      </c>
      <c r="AS30" s="29" t="s">
        <v>109</v>
      </c>
      <c r="AT30" s="53" t="s">
        <v>110</v>
      </c>
      <c r="AU30" s="30" t="s">
        <v>111</v>
      </c>
      <c r="AV30" s="23"/>
      <c r="AW30" s="52" t="s">
        <v>132</v>
      </c>
      <c r="AX30" s="26" t="s">
        <v>119</v>
      </c>
      <c r="AY30" s="26">
        <v>96</v>
      </c>
      <c r="AZ30" s="26">
        <v>228</v>
      </c>
      <c r="BA30" s="45">
        <v>16</v>
      </c>
      <c r="BB30" s="31">
        <v>241</v>
      </c>
      <c r="BC30" s="31">
        <v>300</v>
      </c>
      <c r="BD30" s="45">
        <v>18</v>
      </c>
      <c r="BE30" s="45">
        <v>18</v>
      </c>
      <c r="BF30" s="45">
        <v>18</v>
      </c>
      <c r="BG30" s="45">
        <f t="shared" si="5"/>
        <v>0</v>
      </c>
      <c r="BH30" s="31">
        <v>2</v>
      </c>
      <c r="BI30" s="31">
        <v>40</v>
      </c>
      <c r="BJ30" s="31">
        <v>0.1</v>
      </c>
      <c r="BK30" s="31">
        <v>0.1</v>
      </c>
      <c r="BL30" s="31">
        <v>0.2</v>
      </c>
      <c r="BM30" s="35">
        <v>4</v>
      </c>
      <c r="BN30" s="26">
        <v>36</v>
      </c>
      <c r="BO30" s="36">
        <v>18</v>
      </c>
      <c r="BP30" s="26">
        <v>17.5</v>
      </c>
      <c r="BQ30" s="26" t="s">
        <v>121</v>
      </c>
      <c r="BR30" s="26" t="s">
        <v>122</v>
      </c>
      <c r="BS30" s="32" t="s">
        <v>123</v>
      </c>
      <c r="BT30" s="18"/>
      <c r="BU30" s="18"/>
      <c r="BV30" s="18"/>
      <c r="BW30" s="18"/>
      <c r="BX30" s="18"/>
      <c r="BY30" s="18"/>
    </row>
    <row r="31" spans="1:77" ht="180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55"/>
      <c r="O31" s="55"/>
      <c r="P31" s="55"/>
      <c r="Q31" s="18"/>
      <c r="R31" s="18"/>
      <c r="S31" s="18"/>
      <c r="T31" s="18"/>
      <c r="U31" s="18"/>
      <c r="V31" s="18"/>
      <c r="W31" s="18"/>
      <c r="X31" s="18"/>
      <c r="Y31" s="25" t="s">
        <v>135</v>
      </c>
      <c r="Z31" s="26" t="s">
        <v>119</v>
      </c>
      <c r="AA31" s="26">
        <v>60</v>
      </c>
      <c r="AB31" s="26">
        <v>192</v>
      </c>
      <c r="AC31" s="31">
        <v>15</v>
      </c>
      <c r="AD31" s="31">
        <v>60</v>
      </c>
      <c r="AE31" s="26">
        <v>120</v>
      </c>
      <c r="AF31" s="31">
        <v>4</v>
      </c>
      <c r="AG31" s="31">
        <v>4</v>
      </c>
      <c r="AH31" s="31">
        <v>17</v>
      </c>
      <c r="AI31" s="31">
        <f>AH31-AG31</f>
        <v>13</v>
      </c>
      <c r="AJ31" s="31">
        <v>1.5</v>
      </c>
      <c r="AK31" s="35">
        <v>2</v>
      </c>
      <c r="AL31" s="31">
        <v>25</v>
      </c>
      <c r="AM31" s="31">
        <v>0.1</v>
      </c>
      <c r="AN31" s="31">
        <v>0.1</v>
      </c>
      <c r="AO31" s="31">
        <v>0.2</v>
      </c>
      <c r="AP31" s="26">
        <v>20</v>
      </c>
      <c r="AQ31" s="26">
        <v>10</v>
      </c>
      <c r="AR31" s="26">
        <v>17.5</v>
      </c>
      <c r="AS31" s="26" t="s">
        <v>121</v>
      </c>
      <c r="AT31" s="26" t="s">
        <v>122</v>
      </c>
      <c r="AU31" s="32" t="s">
        <v>123</v>
      </c>
      <c r="AV31" s="23"/>
      <c r="AW31" s="52" t="s">
        <v>132</v>
      </c>
      <c r="AX31" s="26" t="s">
        <v>119</v>
      </c>
      <c r="AY31" s="26">
        <v>96</v>
      </c>
      <c r="AZ31" s="26">
        <v>228</v>
      </c>
      <c r="BA31" s="31">
        <v>15</v>
      </c>
      <c r="BB31" s="31">
        <v>241</v>
      </c>
      <c r="BC31" s="31">
        <v>300</v>
      </c>
      <c r="BD31" s="38">
        <v>19</v>
      </c>
      <c r="BE31" s="38">
        <v>19</v>
      </c>
      <c r="BF31" s="38">
        <v>18</v>
      </c>
      <c r="BG31" s="38">
        <f t="shared" si="5"/>
        <v>-1</v>
      </c>
      <c r="BH31" s="31">
        <v>2</v>
      </c>
      <c r="BI31" s="31">
        <v>40</v>
      </c>
      <c r="BJ31" s="31">
        <v>0.1</v>
      </c>
      <c r="BK31" s="31">
        <v>0.1</v>
      </c>
      <c r="BL31" s="31">
        <v>0.2</v>
      </c>
      <c r="BM31" s="35">
        <v>4</v>
      </c>
      <c r="BN31" s="26">
        <v>36</v>
      </c>
      <c r="BO31" s="36">
        <v>18</v>
      </c>
      <c r="BP31" s="26">
        <v>17.5</v>
      </c>
      <c r="BQ31" s="26" t="s">
        <v>121</v>
      </c>
      <c r="BR31" s="26" t="s">
        <v>122</v>
      </c>
      <c r="BS31" s="32" t="s">
        <v>123</v>
      </c>
      <c r="BT31" s="18"/>
      <c r="BU31" s="18"/>
      <c r="BV31" s="18"/>
      <c r="BW31" s="18"/>
      <c r="BX31" s="18"/>
      <c r="BY31" s="18"/>
    </row>
    <row r="32" spans="1:77" ht="180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55"/>
      <c r="O32" s="55"/>
      <c r="P32" s="55"/>
      <c r="Q32" s="18"/>
      <c r="R32" s="18"/>
      <c r="S32" s="18"/>
      <c r="T32" s="18"/>
      <c r="U32" s="18"/>
      <c r="V32" s="18"/>
      <c r="W32" s="18"/>
      <c r="X32" s="18"/>
      <c r="Y32" s="25" t="s">
        <v>135</v>
      </c>
      <c r="Z32" s="26" t="s">
        <v>119</v>
      </c>
      <c r="AA32" s="26">
        <v>60</v>
      </c>
      <c r="AB32" s="26">
        <v>192</v>
      </c>
      <c r="AC32" s="31">
        <v>14</v>
      </c>
      <c r="AD32" s="31">
        <v>121</v>
      </c>
      <c r="AE32" s="26">
        <v>180</v>
      </c>
      <c r="AF32" s="31">
        <v>5</v>
      </c>
      <c r="AG32" s="31">
        <v>5</v>
      </c>
      <c r="AH32" s="31">
        <v>17</v>
      </c>
      <c r="AI32" s="31">
        <f t="shared" ref="AI32:AI40" si="6">AH32-AG32</f>
        <v>12</v>
      </c>
      <c r="AJ32" s="31">
        <v>1.5</v>
      </c>
      <c r="AK32" s="35">
        <v>3</v>
      </c>
      <c r="AL32" s="31">
        <v>30</v>
      </c>
      <c r="AM32" s="31">
        <v>0.1</v>
      </c>
      <c r="AN32" s="31">
        <v>0.1</v>
      </c>
      <c r="AO32" s="31">
        <v>0.2</v>
      </c>
      <c r="AP32" s="26">
        <v>25</v>
      </c>
      <c r="AQ32" s="36">
        <v>12</v>
      </c>
      <c r="AR32" s="26">
        <v>17.5</v>
      </c>
      <c r="AS32" s="26" t="s">
        <v>121</v>
      </c>
      <c r="AT32" s="26" t="s">
        <v>122</v>
      </c>
      <c r="AU32" s="32" t="s">
        <v>123</v>
      </c>
      <c r="AV32" s="23"/>
      <c r="AW32" s="52" t="s">
        <v>132</v>
      </c>
      <c r="AX32" s="26" t="s">
        <v>119</v>
      </c>
      <c r="AY32" s="26">
        <v>96</v>
      </c>
      <c r="AZ32" s="26">
        <v>228</v>
      </c>
      <c r="BA32" s="31">
        <v>14</v>
      </c>
      <c r="BB32" s="31">
        <v>241</v>
      </c>
      <c r="BC32" s="31">
        <v>300</v>
      </c>
      <c r="BD32" s="38">
        <v>20</v>
      </c>
      <c r="BE32" s="38">
        <v>20</v>
      </c>
      <c r="BF32" s="38">
        <v>18</v>
      </c>
      <c r="BG32" s="38">
        <f t="shared" si="5"/>
        <v>-2</v>
      </c>
      <c r="BH32" s="31">
        <v>2</v>
      </c>
      <c r="BI32" s="31">
        <v>40</v>
      </c>
      <c r="BJ32" s="31">
        <v>0.1</v>
      </c>
      <c r="BK32" s="31">
        <v>0.1</v>
      </c>
      <c r="BL32" s="31">
        <v>0.2</v>
      </c>
      <c r="BM32" s="35">
        <v>4</v>
      </c>
      <c r="BN32" s="26">
        <v>36</v>
      </c>
      <c r="BO32" s="36">
        <v>18</v>
      </c>
      <c r="BP32" s="26">
        <v>17.5</v>
      </c>
      <c r="BQ32" s="26" t="s">
        <v>121</v>
      </c>
      <c r="BR32" s="26" t="s">
        <v>122</v>
      </c>
      <c r="BS32" s="32" t="s">
        <v>123</v>
      </c>
      <c r="BT32" s="18"/>
      <c r="BU32" s="18"/>
      <c r="BV32" s="18"/>
      <c r="BW32" s="18"/>
      <c r="BX32" s="18"/>
      <c r="BY32" s="18"/>
    </row>
    <row r="33" spans="1:77" ht="180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55"/>
      <c r="O33" s="55"/>
      <c r="P33" s="55"/>
      <c r="Q33" s="18"/>
      <c r="R33" s="18"/>
      <c r="S33" s="18"/>
      <c r="T33" s="18"/>
      <c r="U33" s="18"/>
      <c r="V33" s="18"/>
      <c r="W33" s="18"/>
      <c r="X33" s="18"/>
      <c r="Y33" s="25" t="s">
        <v>135</v>
      </c>
      <c r="Z33" s="26" t="s">
        <v>119</v>
      </c>
      <c r="AA33" s="26">
        <v>60</v>
      </c>
      <c r="AB33" s="26">
        <v>192</v>
      </c>
      <c r="AC33" s="31">
        <v>13</v>
      </c>
      <c r="AD33" s="31">
        <v>181</v>
      </c>
      <c r="AE33" s="26">
        <v>240</v>
      </c>
      <c r="AF33" s="31">
        <v>6</v>
      </c>
      <c r="AG33" s="31">
        <v>6</v>
      </c>
      <c r="AH33" s="31">
        <v>17</v>
      </c>
      <c r="AI33" s="31">
        <f t="shared" si="6"/>
        <v>11</v>
      </c>
      <c r="AJ33" s="31">
        <v>2</v>
      </c>
      <c r="AK33" s="35">
        <v>3</v>
      </c>
      <c r="AL33" s="31">
        <v>40</v>
      </c>
      <c r="AM33" s="31">
        <v>0.1</v>
      </c>
      <c r="AN33" s="31">
        <v>0.1</v>
      </c>
      <c r="AO33" s="31">
        <v>0.2</v>
      </c>
      <c r="AP33" s="26">
        <v>30</v>
      </c>
      <c r="AQ33" s="36">
        <v>15</v>
      </c>
      <c r="AR33" s="26">
        <v>17.5</v>
      </c>
      <c r="AS33" s="26" t="s">
        <v>121</v>
      </c>
      <c r="AT33" s="26" t="s">
        <v>122</v>
      </c>
      <c r="AU33" s="32" t="s">
        <v>123</v>
      </c>
      <c r="AV33" s="23"/>
      <c r="AW33" s="52" t="s">
        <v>132</v>
      </c>
      <c r="AX33" s="26" t="s">
        <v>119</v>
      </c>
      <c r="AY33" s="26">
        <v>96</v>
      </c>
      <c r="AZ33" s="26">
        <v>228</v>
      </c>
      <c r="BA33" s="31">
        <v>13</v>
      </c>
      <c r="BB33" s="31">
        <v>241</v>
      </c>
      <c r="BC33" s="31">
        <v>300</v>
      </c>
      <c r="BD33" s="38">
        <v>21</v>
      </c>
      <c r="BE33" s="38">
        <v>21</v>
      </c>
      <c r="BF33" s="38">
        <v>18</v>
      </c>
      <c r="BG33" s="38">
        <f t="shared" si="5"/>
        <v>-3</v>
      </c>
      <c r="BH33" s="31">
        <v>2</v>
      </c>
      <c r="BI33" s="31">
        <v>40</v>
      </c>
      <c r="BJ33" s="31">
        <v>0.1</v>
      </c>
      <c r="BK33" s="31">
        <v>0.1</v>
      </c>
      <c r="BL33" s="31">
        <v>0.2</v>
      </c>
      <c r="BM33" s="35">
        <v>4</v>
      </c>
      <c r="BN33" s="26">
        <v>36</v>
      </c>
      <c r="BO33" s="36">
        <v>18</v>
      </c>
      <c r="BP33" s="26">
        <v>17.5</v>
      </c>
      <c r="BQ33" s="26" t="s">
        <v>121</v>
      </c>
      <c r="BR33" s="26" t="s">
        <v>122</v>
      </c>
      <c r="BS33" s="32" t="s">
        <v>123</v>
      </c>
      <c r="BT33" s="18"/>
      <c r="BU33" s="18"/>
      <c r="BV33" s="18"/>
      <c r="BW33" s="18"/>
      <c r="BX33" s="18"/>
      <c r="BY33" s="18"/>
    </row>
    <row r="34" spans="1:77" ht="180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55"/>
      <c r="O34" s="55"/>
      <c r="P34" s="55"/>
      <c r="Q34" s="18"/>
      <c r="R34" s="18"/>
      <c r="S34" s="18"/>
      <c r="T34" s="18"/>
      <c r="U34" s="18"/>
      <c r="V34" s="18"/>
      <c r="W34" s="18"/>
      <c r="X34" s="18"/>
      <c r="Y34" s="25" t="s">
        <v>135</v>
      </c>
      <c r="Z34" s="26" t="s">
        <v>119</v>
      </c>
      <c r="AA34" s="26">
        <v>60</v>
      </c>
      <c r="AB34" s="26">
        <v>192</v>
      </c>
      <c r="AC34" s="31">
        <v>12</v>
      </c>
      <c r="AD34" s="31">
        <v>241</v>
      </c>
      <c r="AE34" s="26">
        <v>300</v>
      </c>
      <c r="AF34" s="31">
        <v>7</v>
      </c>
      <c r="AG34" s="31">
        <v>7</v>
      </c>
      <c r="AH34" s="31">
        <v>17</v>
      </c>
      <c r="AI34" s="31">
        <f t="shared" si="6"/>
        <v>10</v>
      </c>
      <c r="AJ34" s="31">
        <v>2</v>
      </c>
      <c r="AK34" s="35">
        <v>3</v>
      </c>
      <c r="AL34" s="31">
        <v>40</v>
      </c>
      <c r="AM34" s="31">
        <v>0.1</v>
      </c>
      <c r="AN34" s="31">
        <v>0.1</v>
      </c>
      <c r="AO34" s="31">
        <v>0.2</v>
      </c>
      <c r="AP34" s="26">
        <v>30</v>
      </c>
      <c r="AQ34" s="36">
        <v>15</v>
      </c>
      <c r="AR34" s="26">
        <v>17.5</v>
      </c>
      <c r="AS34" s="26" t="s">
        <v>121</v>
      </c>
      <c r="AT34" s="26" t="s">
        <v>122</v>
      </c>
      <c r="AU34" s="32" t="s">
        <v>123</v>
      </c>
      <c r="AV34" s="23"/>
      <c r="AW34" s="52" t="s">
        <v>132</v>
      </c>
      <c r="AX34" s="26" t="s">
        <v>119</v>
      </c>
      <c r="AY34" s="26">
        <v>96</v>
      </c>
      <c r="AZ34" s="26">
        <v>228</v>
      </c>
      <c r="BA34" s="31">
        <v>12</v>
      </c>
      <c r="BB34" s="31">
        <v>241</v>
      </c>
      <c r="BC34" s="31">
        <v>300</v>
      </c>
      <c r="BD34" s="38">
        <v>22</v>
      </c>
      <c r="BE34" s="38">
        <v>22</v>
      </c>
      <c r="BF34" s="38">
        <v>18</v>
      </c>
      <c r="BG34" s="38">
        <f t="shared" si="5"/>
        <v>-4</v>
      </c>
      <c r="BH34" s="31">
        <v>2</v>
      </c>
      <c r="BI34" s="31">
        <v>40</v>
      </c>
      <c r="BJ34" s="31">
        <v>0.1</v>
      </c>
      <c r="BK34" s="31">
        <v>0.1</v>
      </c>
      <c r="BL34" s="31">
        <v>0.2</v>
      </c>
      <c r="BM34" s="35">
        <v>4</v>
      </c>
      <c r="BN34" s="26">
        <v>36</v>
      </c>
      <c r="BO34" s="36">
        <v>18</v>
      </c>
      <c r="BP34" s="26">
        <v>17.5</v>
      </c>
      <c r="BQ34" s="26" t="s">
        <v>121</v>
      </c>
      <c r="BR34" s="26" t="s">
        <v>122</v>
      </c>
      <c r="BS34" s="32" t="s">
        <v>123</v>
      </c>
      <c r="BT34" s="18"/>
      <c r="BU34" s="18"/>
      <c r="BV34" s="18"/>
      <c r="BW34" s="18"/>
      <c r="BX34" s="18"/>
      <c r="BY34" s="18"/>
    </row>
    <row r="35" spans="1:77" ht="180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55"/>
      <c r="O35" s="55"/>
      <c r="P35" s="55"/>
      <c r="Q35" s="18"/>
      <c r="R35" s="18"/>
      <c r="S35" s="18"/>
      <c r="T35" s="18"/>
      <c r="U35" s="18"/>
      <c r="V35" s="18"/>
      <c r="W35" s="18"/>
      <c r="X35" s="18"/>
      <c r="Y35" s="25" t="s">
        <v>135</v>
      </c>
      <c r="Z35" s="26" t="s">
        <v>119</v>
      </c>
      <c r="AA35" s="26">
        <v>60</v>
      </c>
      <c r="AB35" s="26">
        <v>192</v>
      </c>
      <c r="AC35" s="31">
        <v>11</v>
      </c>
      <c r="AD35" s="31">
        <v>241</v>
      </c>
      <c r="AE35" s="26">
        <v>300</v>
      </c>
      <c r="AF35" s="31">
        <v>8</v>
      </c>
      <c r="AG35" s="31">
        <v>8</v>
      </c>
      <c r="AH35" s="31">
        <v>17</v>
      </c>
      <c r="AI35" s="31">
        <f t="shared" si="6"/>
        <v>9</v>
      </c>
      <c r="AJ35" s="31">
        <v>2</v>
      </c>
      <c r="AK35" s="35">
        <v>3</v>
      </c>
      <c r="AL35" s="31">
        <v>40</v>
      </c>
      <c r="AM35" s="31">
        <v>0.1</v>
      </c>
      <c r="AN35" s="31">
        <v>0.1</v>
      </c>
      <c r="AO35" s="31">
        <v>0.2</v>
      </c>
      <c r="AP35" s="26">
        <v>30</v>
      </c>
      <c r="AQ35" s="36">
        <v>15</v>
      </c>
      <c r="AR35" s="26">
        <v>17.5</v>
      </c>
      <c r="AS35" s="26" t="s">
        <v>121</v>
      </c>
      <c r="AT35" s="26" t="s">
        <v>122</v>
      </c>
      <c r="AU35" s="32" t="s">
        <v>123</v>
      </c>
      <c r="AV35" s="23"/>
      <c r="AW35" s="52" t="s">
        <v>132</v>
      </c>
      <c r="AX35" s="26" t="s">
        <v>119</v>
      </c>
      <c r="AY35" s="26">
        <v>96</v>
      </c>
      <c r="AZ35" s="26">
        <v>228</v>
      </c>
      <c r="BA35" s="31">
        <v>11</v>
      </c>
      <c r="BB35" s="31">
        <v>241</v>
      </c>
      <c r="BC35" s="31">
        <v>300</v>
      </c>
      <c r="BD35" s="38">
        <v>23</v>
      </c>
      <c r="BE35" s="38">
        <v>23</v>
      </c>
      <c r="BF35" s="38">
        <v>18</v>
      </c>
      <c r="BG35" s="38">
        <f t="shared" si="5"/>
        <v>-5</v>
      </c>
      <c r="BH35" s="31">
        <v>2</v>
      </c>
      <c r="BI35" s="31">
        <v>40</v>
      </c>
      <c r="BJ35" s="31">
        <v>0.1</v>
      </c>
      <c r="BK35" s="31">
        <v>0.1</v>
      </c>
      <c r="BL35" s="31">
        <v>0.2</v>
      </c>
      <c r="BM35" s="35">
        <v>4</v>
      </c>
      <c r="BN35" s="26">
        <v>36</v>
      </c>
      <c r="BO35" s="36">
        <v>18</v>
      </c>
      <c r="BP35" s="26">
        <v>17.5</v>
      </c>
      <c r="BQ35" s="26" t="s">
        <v>121</v>
      </c>
      <c r="BR35" s="26" t="s">
        <v>122</v>
      </c>
      <c r="BS35" s="32" t="s">
        <v>123</v>
      </c>
      <c r="BT35" s="18"/>
      <c r="BU35" s="18"/>
      <c r="BV35" s="18"/>
      <c r="BW35" s="18"/>
      <c r="BX35" s="18"/>
      <c r="BY35" s="18"/>
    </row>
    <row r="36" spans="1:77" ht="180.75" thickBo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55"/>
      <c r="O36" s="55"/>
      <c r="P36" s="55"/>
      <c r="Q36" s="18"/>
      <c r="R36" s="18"/>
      <c r="S36" s="18"/>
      <c r="T36" s="18"/>
      <c r="U36" s="18"/>
      <c r="V36" s="18"/>
      <c r="W36" s="18"/>
      <c r="X36" s="18"/>
      <c r="Y36" s="25" t="s">
        <v>135</v>
      </c>
      <c r="Z36" s="26" t="s">
        <v>119</v>
      </c>
      <c r="AA36" s="26">
        <v>60</v>
      </c>
      <c r="AB36" s="26">
        <v>192</v>
      </c>
      <c r="AC36" s="31">
        <v>10</v>
      </c>
      <c r="AD36" s="31">
        <v>241</v>
      </c>
      <c r="AE36" s="26">
        <v>300</v>
      </c>
      <c r="AF36" s="31">
        <v>9</v>
      </c>
      <c r="AG36" s="31">
        <v>9</v>
      </c>
      <c r="AH36" s="31">
        <v>17</v>
      </c>
      <c r="AI36" s="31">
        <f t="shared" si="6"/>
        <v>8</v>
      </c>
      <c r="AJ36" s="31">
        <v>2</v>
      </c>
      <c r="AK36" s="35">
        <v>3</v>
      </c>
      <c r="AL36" s="31">
        <v>40</v>
      </c>
      <c r="AM36" s="31">
        <v>0.1</v>
      </c>
      <c r="AN36" s="31">
        <v>0.1</v>
      </c>
      <c r="AO36" s="31">
        <v>0.2</v>
      </c>
      <c r="AP36" s="26">
        <v>30</v>
      </c>
      <c r="AQ36" s="36">
        <v>15</v>
      </c>
      <c r="AR36" s="26">
        <v>17.5</v>
      </c>
      <c r="AS36" s="26" t="s">
        <v>121</v>
      </c>
      <c r="AT36" s="26" t="s">
        <v>122</v>
      </c>
      <c r="AU36" s="32" t="s">
        <v>123</v>
      </c>
      <c r="AV36" s="23"/>
      <c r="AW36" s="54" t="s">
        <v>132</v>
      </c>
      <c r="AX36" s="41" t="s">
        <v>119</v>
      </c>
      <c r="AY36" s="41">
        <v>96</v>
      </c>
      <c r="AZ36" s="41">
        <v>228</v>
      </c>
      <c r="BA36" s="42">
        <v>10</v>
      </c>
      <c r="BB36" s="42">
        <v>241</v>
      </c>
      <c r="BC36" s="42">
        <v>300</v>
      </c>
      <c r="BD36" s="38">
        <v>24</v>
      </c>
      <c r="BE36" s="38">
        <v>24</v>
      </c>
      <c r="BF36" s="46">
        <v>18</v>
      </c>
      <c r="BG36" s="46"/>
      <c r="BH36" s="42">
        <v>2</v>
      </c>
      <c r="BI36" s="42">
        <v>40</v>
      </c>
      <c r="BJ36" s="31">
        <v>0.1</v>
      </c>
      <c r="BK36" s="31">
        <v>0.1</v>
      </c>
      <c r="BL36" s="31">
        <v>0.2</v>
      </c>
      <c r="BM36" s="48">
        <v>4</v>
      </c>
      <c r="BN36" s="41">
        <v>36</v>
      </c>
      <c r="BO36" s="49">
        <v>18</v>
      </c>
      <c r="BP36" s="41">
        <v>17.5</v>
      </c>
      <c r="BQ36" s="41" t="s">
        <v>121</v>
      </c>
      <c r="BR36" s="41" t="s">
        <v>122</v>
      </c>
      <c r="BS36" s="43" t="s">
        <v>123</v>
      </c>
      <c r="BT36" s="18"/>
      <c r="BU36" s="18"/>
      <c r="BV36" s="18"/>
      <c r="BW36" s="18"/>
      <c r="BX36" s="18"/>
      <c r="BY36" s="18"/>
    </row>
    <row r="37" spans="1:77" ht="180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55"/>
      <c r="O37" s="55"/>
      <c r="P37" s="55"/>
      <c r="Q37" s="18"/>
      <c r="R37" s="18"/>
      <c r="S37" s="18"/>
      <c r="T37" s="18"/>
      <c r="U37" s="18"/>
      <c r="V37" s="18"/>
      <c r="W37" s="18"/>
      <c r="X37" s="18"/>
      <c r="Y37" s="25" t="s">
        <v>135</v>
      </c>
      <c r="Z37" s="26" t="s">
        <v>119</v>
      </c>
      <c r="AA37" s="26">
        <v>60</v>
      </c>
      <c r="AB37" s="26">
        <v>192</v>
      </c>
      <c r="AC37" s="31">
        <v>9</v>
      </c>
      <c r="AD37" s="31">
        <v>241</v>
      </c>
      <c r="AE37" s="26">
        <v>300</v>
      </c>
      <c r="AF37" s="31">
        <v>10</v>
      </c>
      <c r="AG37" s="31">
        <v>10</v>
      </c>
      <c r="AH37" s="31">
        <v>17</v>
      </c>
      <c r="AI37" s="31">
        <f t="shared" si="6"/>
        <v>7</v>
      </c>
      <c r="AJ37" s="31">
        <v>2</v>
      </c>
      <c r="AK37" s="35">
        <v>3</v>
      </c>
      <c r="AL37" s="31">
        <v>40</v>
      </c>
      <c r="AM37" s="31">
        <v>0.1</v>
      </c>
      <c r="AN37" s="31">
        <v>0.1</v>
      </c>
      <c r="AO37" s="31">
        <v>0.2</v>
      </c>
      <c r="AP37" s="26">
        <v>30</v>
      </c>
      <c r="AQ37" s="36">
        <v>15</v>
      </c>
      <c r="AR37" s="26">
        <v>17.5</v>
      </c>
      <c r="AS37" s="26" t="s">
        <v>121</v>
      </c>
      <c r="AT37" s="26" t="s">
        <v>122</v>
      </c>
      <c r="AU37" s="32" t="s">
        <v>123</v>
      </c>
      <c r="AV37" s="23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55"/>
      <c r="BK37" s="55"/>
      <c r="BL37" s="55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</row>
    <row r="38" spans="1:77" ht="180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55"/>
      <c r="O38" s="55"/>
      <c r="P38" s="55"/>
      <c r="Q38" s="18"/>
      <c r="R38" s="18"/>
      <c r="S38" s="18"/>
      <c r="T38" s="18"/>
      <c r="U38" s="18"/>
      <c r="V38" s="18"/>
      <c r="W38" s="18"/>
      <c r="X38" s="18"/>
      <c r="Y38" s="25" t="s">
        <v>135</v>
      </c>
      <c r="Z38" s="26" t="s">
        <v>119</v>
      </c>
      <c r="AA38" s="26">
        <v>60</v>
      </c>
      <c r="AB38" s="26">
        <v>192</v>
      </c>
      <c r="AC38" s="31">
        <v>8</v>
      </c>
      <c r="AD38" s="31">
        <v>241</v>
      </c>
      <c r="AE38" s="26">
        <v>300</v>
      </c>
      <c r="AF38" s="31">
        <v>11</v>
      </c>
      <c r="AG38" s="31">
        <v>11</v>
      </c>
      <c r="AH38" s="31">
        <v>17</v>
      </c>
      <c r="AI38" s="31">
        <f t="shared" si="6"/>
        <v>6</v>
      </c>
      <c r="AJ38" s="31">
        <v>2</v>
      </c>
      <c r="AK38" s="35">
        <v>3</v>
      </c>
      <c r="AL38" s="31">
        <v>40</v>
      </c>
      <c r="AM38" s="31">
        <v>0.1</v>
      </c>
      <c r="AN38" s="31">
        <v>0.1</v>
      </c>
      <c r="AO38" s="31">
        <v>0.2</v>
      </c>
      <c r="AP38" s="26">
        <v>30</v>
      </c>
      <c r="AQ38" s="36">
        <v>15</v>
      </c>
      <c r="AR38" s="26">
        <v>17.5</v>
      </c>
      <c r="AS38" s="26" t="s">
        <v>121</v>
      </c>
      <c r="AT38" s="26" t="s">
        <v>122</v>
      </c>
      <c r="AU38" s="32" t="s">
        <v>123</v>
      </c>
      <c r="AV38" s="23"/>
      <c r="AW38" s="23"/>
      <c r="AX38" s="23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55"/>
      <c r="BK38" s="55"/>
      <c r="BL38" s="55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</row>
    <row r="39" spans="1:77" ht="180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55"/>
      <c r="O39" s="55"/>
      <c r="P39" s="55"/>
      <c r="Q39" s="18"/>
      <c r="R39" s="18"/>
      <c r="S39" s="18"/>
      <c r="T39" s="18"/>
      <c r="U39" s="18"/>
      <c r="V39" s="18"/>
      <c r="W39" s="18"/>
      <c r="X39" s="18"/>
      <c r="Y39" s="25" t="s">
        <v>135</v>
      </c>
      <c r="Z39" s="26" t="s">
        <v>119</v>
      </c>
      <c r="AA39" s="26">
        <v>60</v>
      </c>
      <c r="AB39" s="26">
        <v>192</v>
      </c>
      <c r="AC39" s="31">
        <v>7</v>
      </c>
      <c r="AD39" s="31">
        <v>241</v>
      </c>
      <c r="AE39" s="26">
        <v>300</v>
      </c>
      <c r="AF39" s="31">
        <v>12</v>
      </c>
      <c r="AG39" s="31">
        <v>12</v>
      </c>
      <c r="AH39" s="31">
        <v>17</v>
      </c>
      <c r="AI39" s="31">
        <f t="shared" si="6"/>
        <v>5</v>
      </c>
      <c r="AJ39" s="31">
        <v>2</v>
      </c>
      <c r="AK39" s="35">
        <v>3</v>
      </c>
      <c r="AL39" s="31">
        <v>40</v>
      </c>
      <c r="AM39" s="31">
        <v>0.1</v>
      </c>
      <c r="AN39" s="31">
        <v>0.1</v>
      </c>
      <c r="AO39" s="31">
        <v>0.2</v>
      </c>
      <c r="AP39" s="26">
        <v>30</v>
      </c>
      <c r="AQ39" s="36">
        <v>15</v>
      </c>
      <c r="AR39" s="26">
        <v>17.5</v>
      </c>
      <c r="AS39" s="26" t="s">
        <v>121</v>
      </c>
      <c r="AT39" s="26" t="s">
        <v>122</v>
      </c>
      <c r="AU39" s="32" t="s">
        <v>123</v>
      </c>
      <c r="AV39" s="23"/>
      <c r="AW39" s="23"/>
      <c r="AX39" s="23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55"/>
      <c r="BK39" s="55"/>
      <c r="BL39" s="55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</row>
    <row r="40" spans="1:77" ht="180.75" thickBo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55"/>
      <c r="O40" s="55"/>
      <c r="P40" s="55"/>
      <c r="Q40" s="18"/>
      <c r="R40" s="18"/>
      <c r="S40" s="18"/>
      <c r="T40" s="18"/>
      <c r="U40" s="18"/>
      <c r="V40" s="18"/>
      <c r="W40" s="18"/>
      <c r="X40" s="18"/>
      <c r="Y40" s="40" t="s">
        <v>135</v>
      </c>
      <c r="Z40" s="41" t="s">
        <v>119</v>
      </c>
      <c r="AA40" s="41">
        <v>60</v>
      </c>
      <c r="AB40" s="41">
        <v>192</v>
      </c>
      <c r="AC40" s="42">
        <v>6</v>
      </c>
      <c r="AD40" s="42">
        <v>241</v>
      </c>
      <c r="AE40" s="41">
        <v>300</v>
      </c>
      <c r="AF40" s="31">
        <v>13</v>
      </c>
      <c r="AG40" s="31">
        <v>13</v>
      </c>
      <c r="AH40" s="42">
        <v>17</v>
      </c>
      <c r="AI40" s="42">
        <f t="shared" si="6"/>
        <v>4</v>
      </c>
      <c r="AJ40" s="42">
        <v>2</v>
      </c>
      <c r="AK40" s="48">
        <v>3</v>
      </c>
      <c r="AL40" s="42">
        <v>40</v>
      </c>
      <c r="AM40" s="31">
        <v>0.1</v>
      </c>
      <c r="AN40" s="31">
        <v>0.1</v>
      </c>
      <c r="AO40" s="31">
        <v>0.2</v>
      </c>
      <c r="AP40" s="41">
        <v>30</v>
      </c>
      <c r="AQ40" s="49">
        <v>15</v>
      </c>
      <c r="AR40" s="41">
        <v>17.5</v>
      </c>
      <c r="AS40" s="41" t="s">
        <v>121</v>
      </c>
      <c r="AT40" s="41" t="s">
        <v>122</v>
      </c>
      <c r="AU40" s="43" t="s">
        <v>123</v>
      </c>
      <c r="AV40" s="23"/>
      <c r="AW40" s="23"/>
      <c r="AX40" s="23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55"/>
      <c r="BK40" s="55"/>
      <c r="BL40" s="55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</row>
    <row r="41" spans="1:77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55"/>
      <c r="O41" s="55"/>
      <c r="P41" s="55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23"/>
      <c r="AB41" s="23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55"/>
      <c r="AN41" s="55"/>
      <c r="AO41" s="55"/>
      <c r="AP41" s="18"/>
      <c r="AQ41" s="23"/>
      <c r="AR41" s="23"/>
      <c r="AS41" s="23"/>
      <c r="AT41" s="23"/>
      <c r="AU41" s="23"/>
      <c r="AV41" s="23"/>
      <c r="AW41" s="23"/>
      <c r="AX41" s="23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55"/>
      <c r="BK41" s="55"/>
      <c r="BL41" s="55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</row>
    <row r="42" spans="1:77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55"/>
      <c r="O42" s="55"/>
      <c r="P42" s="55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23"/>
      <c r="AB42" s="2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55"/>
      <c r="AN42" s="55"/>
      <c r="AO42" s="55"/>
      <c r="AP42" s="18"/>
      <c r="AQ42" s="23"/>
      <c r="AR42" s="23"/>
      <c r="AS42" s="23"/>
      <c r="AT42" s="23"/>
      <c r="AU42" s="23"/>
      <c r="AV42" s="23"/>
      <c r="AW42" s="23"/>
      <c r="AX42" s="23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22"/>
      <c r="BJ42" s="55"/>
      <c r="BK42" s="55"/>
      <c r="BL42" s="55"/>
      <c r="BM42" s="22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</row>
  </sheetData>
  <mergeCells count="7">
    <mergeCell ref="Y29:AU29"/>
    <mergeCell ref="A2:W2"/>
    <mergeCell ref="Y2:AT2"/>
    <mergeCell ref="AW2:BS2"/>
    <mergeCell ref="A15:W15"/>
    <mergeCell ref="Y15:AU15"/>
    <mergeCell ref="AW20:BS2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U21"/>
  <sheetViews>
    <sheetView tabSelected="1" topLeftCell="A3" zoomScale="115" zoomScaleNormal="115" zoomScalePageLayoutView="163" workbookViewId="0">
      <selection activeCell="AB2" sqref="AB2"/>
    </sheetView>
  </sheetViews>
  <sheetFormatPr defaultColWidth="8.85546875" defaultRowHeight="15"/>
  <cols>
    <col min="1" max="1" width="4.7109375" style="84" customWidth="1"/>
    <col min="2" max="2" width="4" style="84" bestFit="1" customWidth="1"/>
    <col min="3" max="5" width="5" style="84" customWidth="1"/>
    <col min="6" max="6" width="5.85546875" customWidth="1"/>
    <col min="7" max="15" width="5" style="84" customWidth="1"/>
    <col min="16" max="16" width="7" customWidth="1"/>
    <col min="17" max="18" width="3.140625" style="114" customWidth="1"/>
    <col min="19" max="26" width="3.140625" style="92" customWidth="1"/>
    <col min="27" max="27" width="6.140625" style="84" customWidth="1"/>
    <col min="28" max="29" width="5" customWidth="1"/>
    <col min="30" max="31" width="5" style="129" customWidth="1"/>
    <col min="32" max="32" width="6.42578125" customWidth="1"/>
    <col min="33" max="33" width="9" bestFit="1" customWidth="1"/>
    <col min="34" max="36" width="9.85546875" bestFit="1" customWidth="1"/>
    <col min="37" max="37" width="5" style="105" customWidth="1"/>
    <col min="38" max="38" width="2.42578125" style="84" bestFit="1" customWidth="1"/>
    <col min="39" max="39" width="3" style="84" bestFit="1" customWidth="1"/>
    <col min="40" max="42" width="2.42578125" style="84" bestFit="1" customWidth="1"/>
    <col min="43" max="43" width="5.140625" style="84" bestFit="1" customWidth="1"/>
    <col min="44" max="45" width="4" style="84" bestFit="1" customWidth="1"/>
    <col min="46" max="46" width="10.85546875" bestFit="1" customWidth="1"/>
    <col min="47" max="47" width="8.42578125" bestFit="1" customWidth="1"/>
  </cols>
  <sheetData>
    <row r="1" spans="1:47" ht="15" customHeight="1">
      <c r="A1" s="161" t="s">
        <v>193</v>
      </c>
      <c r="B1" s="161"/>
      <c r="C1" s="161"/>
      <c r="D1" s="161"/>
      <c r="E1" s="162"/>
      <c r="F1" s="162"/>
      <c r="G1" s="162"/>
      <c r="H1" s="165"/>
      <c r="I1" s="155"/>
      <c r="J1" s="155"/>
      <c r="K1" s="155"/>
      <c r="L1" s="166"/>
      <c r="M1" s="161" t="s">
        <v>191</v>
      </c>
      <c r="N1" s="161"/>
      <c r="O1" s="161"/>
      <c r="P1" s="161"/>
      <c r="Q1" s="164"/>
      <c r="R1" s="164"/>
      <c r="S1" s="164"/>
      <c r="T1" s="164"/>
      <c r="U1" s="164"/>
      <c r="AD1"/>
      <c r="AE1"/>
      <c r="AL1" s="70"/>
      <c r="AM1" s="70"/>
      <c r="AN1" s="70"/>
      <c r="AO1" s="70"/>
      <c r="AP1" s="113"/>
      <c r="AQ1" s="113"/>
    </row>
    <row r="2" spans="1:47" ht="33.950000000000003" customHeight="1" thickBot="1">
      <c r="A2" s="161" t="s">
        <v>194</v>
      </c>
      <c r="B2" s="161"/>
      <c r="C2" s="161"/>
      <c r="D2" s="161"/>
      <c r="E2" s="162"/>
      <c r="F2" s="162"/>
      <c r="G2" s="162"/>
      <c r="H2" s="167"/>
      <c r="I2" s="154"/>
      <c r="J2" s="154"/>
      <c r="K2" s="154"/>
      <c r="L2" s="168"/>
      <c r="M2" s="161" t="s">
        <v>192</v>
      </c>
      <c r="N2" s="161"/>
      <c r="O2" s="161"/>
      <c r="P2" s="161"/>
      <c r="Q2" s="164"/>
      <c r="R2" s="164"/>
      <c r="S2" s="164"/>
      <c r="T2" s="164"/>
      <c r="U2" s="164"/>
      <c r="AD2" s="122" t="s">
        <v>160</v>
      </c>
      <c r="AE2" s="130"/>
      <c r="AL2" s="70"/>
      <c r="AM2" s="70"/>
      <c r="AN2" s="70"/>
      <c r="AO2" s="70"/>
      <c r="AP2" s="112"/>
      <c r="AQ2" s="112"/>
    </row>
    <row r="3" spans="1:47" s="92" customFormat="1" ht="144.75" customHeight="1" thickBot="1">
      <c r="A3" s="156" t="s">
        <v>139</v>
      </c>
      <c r="B3" s="157" t="s">
        <v>140</v>
      </c>
      <c r="C3" s="158" t="s">
        <v>145</v>
      </c>
      <c r="D3" s="159" t="s">
        <v>148</v>
      </c>
      <c r="E3" s="158" t="s">
        <v>158</v>
      </c>
      <c r="F3" s="160" t="s">
        <v>151</v>
      </c>
      <c r="G3" s="158" t="s">
        <v>6</v>
      </c>
      <c r="H3" s="85" t="s">
        <v>7</v>
      </c>
      <c r="I3" s="85" t="s">
        <v>8</v>
      </c>
      <c r="J3" s="85" t="s">
        <v>9</v>
      </c>
      <c r="K3" s="85" t="s">
        <v>149</v>
      </c>
      <c r="L3" s="104" t="s">
        <v>150</v>
      </c>
      <c r="M3" s="157" t="s">
        <v>12</v>
      </c>
      <c r="N3" s="157" t="s">
        <v>13</v>
      </c>
      <c r="O3" s="157" t="s">
        <v>14</v>
      </c>
      <c r="P3" s="160" t="s">
        <v>17</v>
      </c>
      <c r="Q3" s="163" t="s">
        <v>141</v>
      </c>
      <c r="R3" s="157" t="s">
        <v>142</v>
      </c>
      <c r="S3" s="160" t="s">
        <v>18</v>
      </c>
      <c r="T3" s="160" t="s">
        <v>19</v>
      </c>
      <c r="U3" s="160" t="s">
        <v>20</v>
      </c>
      <c r="V3" s="110" t="s">
        <v>153</v>
      </c>
      <c r="W3" s="111" t="s">
        <v>154</v>
      </c>
      <c r="X3" s="111" t="s">
        <v>155</v>
      </c>
      <c r="Y3" s="111" t="s">
        <v>157</v>
      </c>
      <c r="Z3" s="111" t="s">
        <v>156</v>
      </c>
      <c r="AA3" s="85" t="s">
        <v>15</v>
      </c>
      <c r="AB3" s="90" t="s">
        <v>28</v>
      </c>
      <c r="AC3" s="121" t="s">
        <v>159</v>
      </c>
      <c r="AD3" s="151" t="s">
        <v>161</v>
      </c>
      <c r="AE3" s="152"/>
      <c r="AF3" s="90" t="s">
        <v>29</v>
      </c>
      <c r="AG3" s="90" t="s">
        <v>30</v>
      </c>
      <c r="AH3" s="90" t="s">
        <v>31</v>
      </c>
      <c r="AI3" s="90" t="s">
        <v>32</v>
      </c>
      <c r="AJ3" s="91" t="s">
        <v>33</v>
      </c>
      <c r="AK3" s="106" t="s">
        <v>147</v>
      </c>
      <c r="AL3" s="86" t="s">
        <v>0</v>
      </c>
      <c r="AM3" s="85" t="s">
        <v>1</v>
      </c>
      <c r="AN3" s="85" t="s">
        <v>2</v>
      </c>
      <c r="AO3" s="85" t="s">
        <v>3</v>
      </c>
      <c r="AP3" s="85" t="s">
        <v>143</v>
      </c>
      <c r="AQ3" s="87" t="s">
        <v>144</v>
      </c>
      <c r="AR3" s="88" t="s">
        <v>111</v>
      </c>
      <c r="AS3" s="88" t="s">
        <v>4</v>
      </c>
      <c r="AT3" s="89" t="s">
        <v>21</v>
      </c>
      <c r="AU3" s="89" t="s">
        <v>152</v>
      </c>
    </row>
    <row r="4" spans="1:47" s="94" customFormat="1" ht="78.75">
      <c r="A4" s="65" t="s">
        <v>55</v>
      </c>
      <c r="B4" s="4" t="s">
        <v>34</v>
      </c>
      <c r="C4" s="4" t="s">
        <v>47</v>
      </c>
      <c r="D4" s="4" t="s">
        <v>35</v>
      </c>
      <c r="E4" s="4" t="s">
        <v>60</v>
      </c>
      <c r="F4" s="4" t="s">
        <v>61</v>
      </c>
      <c r="G4" s="4" t="s">
        <v>48</v>
      </c>
      <c r="H4" s="4" t="s">
        <v>49</v>
      </c>
      <c r="I4" s="4" t="s">
        <v>48</v>
      </c>
      <c r="J4" s="4" t="s">
        <v>49</v>
      </c>
      <c r="K4" s="4" t="s">
        <v>40</v>
      </c>
      <c r="L4" s="4" t="s">
        <v>52</v>
      </c>
      <c r="M4" s="4" t="s">
        <v>35</v>
      </c>
      <c r="N4" s="4" t="s">
        <v>48</v>
      </c>
      <c r="O4" s="4" t="s">
        <v>49</v>
      </c>
      <c r="P4" s="4" t="s">
        <v>80</v>
      </c>
      <c r="Q4" s="4">
        <v>60</v>
      </c>
      <c r="R4" s="4">
        <v>7</v>
      </c>
      <c r="S4" s="3">
        <v>2</v>
      </c>
      <c r="T4" s="3">
        <v>1</v>
      </c>
      <c r="U4" s="3">
        <v>0.5</v>
      </c>
      <c r="V4" s="4">
        <f t="shared" ref="V4:V14" si="0">(Q4-(R4*2))/2</f>
        <v>23</v>
      </c>
      <c r="W4" s="4">
        <v>25</v>
      </c>
      <c r="X4" s="4">
        <v>1</v>
      </c>
      <c r="Y4" s="4">
        <v>20</v>
      </c>
      <c r="Z4" s="4">
        <v>10</v>
      </c>
      <c r="AA4" s="4" t="s">
        <v>15</v>
      </c>
      <c r="AB4" s="4">
        <f>((Q4-(AP4*2))*1.5+(Y4*2)+((S4+U4+T4)*2)*X4)/36*2</f>
        <v>7.6111111111111107</v>
      </c>
      <c r="AC4" s="4"/>
      <c r="AD4" s="123" t="s">
        <v>162</v>
      </c>
      <c r="AE4" s="131"/>
      <c r="AF4" s="4">
        <f>(((Q12-R12*2)*1.5)+(Z12+S12)*2)*X12/36</f>
        <v>4.25</v>
      </c>
      <c r="AG4" s="4"/>
      <c r="AH4" s="4"/>
      <c r="AI4" s="4"/>
      <c r="AJ4" s="93"/>
      <c r="AK4" s="107" t="s">
        <v>35</v>
      </c>
      <c r="AL4" s="4">
        <v>4</v>
      </c>
      <c r="AM4" s="4">
        <v>40</v>
      </c>
      <c r="AN4" s="4">
        <v>7</v>
      </c>
      <c r="AO4" s="4">
        <v>7</v>
      </c>
      <c r="AP4" s="66">
        <v>0</v>
      </c>
      <c r="AQ4" s="4" t="s">
        <v>46</v>
      </c>
      <c r="AR4" s="4" t="s">
        <v>42</v>
      </c>
      <c r="AS4" s="4" t="s">
        <v>42</v>
      </c>
      <c r="AT4" s="4" t="s">
        <v>81</v>
      </c>
      <c r="AU4" s="4"/>
    </row>
    <row r="5" spans="1:47" s="94" customFormat="1" ht="78.75">
      <c r="A5" s="71" t="s">
        <v>55</v>
      </c>
      <c r="B5" s="7" t="s">
        <v>34</v>
      </c>
      <c r="C5" s="7" t="s">
        <v>47</v>
      </c>
      <c r="D5" s="7" t="s">
        <v>35</v>
      </c>
      <c r="E5" s="7" t="s">
        <v>60</v>
      </c>
      <c r="F5" s="7" t="s">
        <v>66</v>
      </c>
      <c r="G5" s="7" t="s">
        <v>48</v>
      </c>
      <c r="H5" s="7" t="s">
        <v>49</v>
      </c>
      <c r="I5" s="7" t="s">
        <v>48</v>
      </c>
      <c r="J5" s="7" t="s">
        <v>49</v>
      </c>
      <c r="K5" s="7" t="s">
        <v>67</v>
      </c>
      <c r="L5" s="7"/>
      <c r="M5" s="7" t="s">
        <v>35</v>
      </c>
      <c r="N5" s="7" t="s">
        <v>48</v>
      </c>
      <c r="O5" s="7" t="s">
        <v>49</v>
      </c>
      <c r="P5" s="7" t="s">
        <v>80</v>
      </c>
      <c r="Q5" s="7">
        <v>60</v>
      </c>
      <c r="R5" s="7">
        <v>7</v>
      </c>
      <c r="S5" s="5">
        <v>2</v>
      </c>
      <c r="T5" s="5">
        <v>1</v>
      </c>
      <c r="U5" s="5">
        <v>0.5</v>
      </c>
      <c r="V5" s="7">
        <f t="shared" si="0"/>
        <v>23</v>
      </c>
      <c r="W5" s="7">
        <v>25</v>
      </c>
      <c r="X5" s="7">
        <v>1</v>
      </c>
      <c r="Y5" s="7">
        <v>20</v>
      </c>
      <c r="Z5" s="7">
        <v>10</v>
      </c>
      <c r="AA5" s="7" t="s">
        <v>15</v>
      </c>
      <c r="AB5" s="7"/>
      <c r="AC5" s="7"/>
      <c r="AD5" s="124" t="s">
        <v>92</v>
      </c>
      <c r="AE5" s="132" t="s">
        <v>179</v>
      </c>
      <c r="AF5" s="7">
        <f>(((Q5-R5*2)*1.5)+(Z5+S5)*2)*X5/36</f>
        <v>2.5833333333333335</v>
      </c>
      <c r="AG5" s="7">
        <f>ROUND(X5*35,2)</f>
        <v>35</v>
      </c>
      <c r="AH5" s="7"/>
      <c r="AI5" s="7"/>
      <c r="AJ5" s="76"/>
      <c r="AK5" s="108" t="s">
        <v>35</v>
      </c>
      <c r="AL5" s="7">
        <v>4</v>
      </c>
      <c r="AM5" s="7">
        <v>40</v>
      </c>
      <c r="AN5" s="7">
        <v>7</v>
      </c>
      <c r="AO5" s="7">
        <v>7</v>
      </c>
      <c r="AP5" s="7">
        <v>0</v>
      </c>
      <c r="AQ5" s="7" t="s">
        <v>46</v>
      </c>
      <c r="AR5" s="96" t="s">
        <v>54</v>
      </c>
      <c r="AS5" s="96" t="s">
        <v>54</v>
      </c>
      <c r="AT5" s="7" t="s">
        <v>81</v>
      </c>
      <c r="AU5" s="7"/>
    </row>
    <row r="6" spans="1:47" s="94" customFormat="1" ht="78.75">
      <c r="A6" s="71" t="s">
        <v>53</v>
      </c>
      <c r="B6" s="7" t="s">
        <v>34</v>
      </c>
      <c r="C6" s="7" t="s">
        <v>47</v>
      </c>
      <c r="D6" s="7" t="s">
        <v>35</v>
      </c>
      <c r="E6" s="7" t="s">
        <v>60</v>
      </c>
      <c r="F6" s="7" t="s">
        <v>61</v>
      </c>
      <c r="G6" s="7" t="s">
        <v>48</v>
      </c>
      <c r="H6" s="7" t="s">
        <v>49</v>
      </c>
      <c r="I6" s="7" t="s">
        <v>48</v>
      </c>
      <c r="J6" s="7" t="s">
        <v>49</v>
      </c>
      <c r="K6" s="7" t="s">
        <v>67</v>
      </c>
      <c r="L6" s="7" t="s">
        <v>49</v>
      </c>
      <c r="M6" s="7" t="s">
        <v>35</v>
      </c>
      <c r="N6" s="7" t="s">
        <v>48</v>
      </c>
      <c r="O6" s="7" t="s">
        <v>49</v>
      </c>
      <c r="P6" s="7" t="s">
        <v>80</v>
      </c>
      <c r="Q6" s="7">
        <v>60</v>
      </c>
      <c r="R6" s="7">
        <v>7</v>
      </c>
      <c r="S6" s="5">
        <v>2</v>
      </c>
      <c r="T6" s="5">
        <v>1</v>
      </c>
      <c r="U6" s="5">
        <v>0.5</v>
      </c>
      <c r="V6" s="7">
        <f t="shared" si="0"/>
        <v>23</v>
      </c>
      <c r="W6" s="7">
        <v>25</v>
      </c>
      <c r="X6" s="7">
        <v>1</v>
      </c>
      <c r="Y6" s="7">
        <v>20</v>
      </c>
      <c r="Z6" s="7">
        <v>10</v>
      </c>
      <c r="AA6" s="7" t="s">
        <v>15</v>
      </c>
      <c r="AB6" s="7"/>
      <c r="AC6" s="7"/>
      <c r="AD6" s="125" t="s">
        <v>163</v>
      </c>
      <c r="AE6" s="133">
        <v>100</v>
      </c>
      <c r="AF6" s="7">
        <f>(((Q6-R6*2)*1.5)+(Z6+S6)*2)*X6/36</f>
        <v>2.5833333333333335</v>
      </c>
      <c r="AG6" s="7">
        <f>ROUND(X6*35,2)</f>
        <v>35</v>
      </c>
      <c r="AH6" s="7"/>
      <c r="AI6" s="7"/>
      <c r="AJ6" s="76"/>
      <c r="AK6" s="108" t="s">
        <v>35</v>
      </c>
      <c r="AL6" s="7">
        <v>4</v>
      </c>
      <c r="AM6" s="7">
        <v>40</v>
      </c>
      <c r="AN6" s="7">
        <v>7</v>
      </c>
      <c r="AO6" s="7">
        <v>7</v>
      </c>
      <c r="AP6" s="7">
        <v>0</v>
      </c>
      <c r="AQ6" s="7" t="s">
        <v>46</v>
      </c>
      <c r="AR6" s="96" t="s">
        <v>43</v>
      </c>
      <c r="AS6" s="96" t="s">
        <v>43</v>
      </c>
      <c r="AT6" s="7" t="s">
        <v>81</v>
      </c>
      <c r="AU6" s="7"/>
    </row>
    <row r="7" spans="1:47" s="94" customFormat="1" ht="78.75">
      <c r="A7" s="71" t="s">
        <v>82</v>
      </c>
      <c r="B7" s="7" t="s">
        <v>34</v>
      </c>
      <c r="C7" s="7" t="s">
        <v>47</v>
      </c>
      <c r="D7" s="7" t="s">
        <v>35</v>
      </c>
      <c r="E7" s="7" t="s">
        <v>60</v>
      </c>
      <c r="F7" s="7" t="s">
        <v>61</v>
      </c>
      <c r="G7" s="7" t="s">
        <v>48</v>
      </c>
      <c r="H7" s="7" t="s">
        <v>49</v>
      </c>
      <c r="I7" s="7" t="s">
        <v>48</v>
      </c>
      <c r="J7" s="7" t="s">
        <v>49</v>
      </c>
      <c r="K7" s="7" t="s">
        <v>67</v>
      </c>
      <c r="L7" s="7" t="s">
        <v>39</v>
      </c>
      <c r="M7" s="7" t="s">
        <v>35</v>
      </c>
      <c r="N7" s="7" t="s">
        <v>48</v>
      </c>
      <c r="O7" s="7" t="s">
        <v>49</v>
      </c>
      <c r="P7" s="7" t="s">
        <v>80</v>
      </c>
      <c r="Q7" s="7">
        <v>60</v>
      </c>
      <c r="R7" s="7">
        <v>7</v>
      </c>
      <c r="S7" s="5">
        <v>2</v>
      </c>
      <c r="T7" s="5">
        <v>1</v>
      </c>
      <c r="U7" s="5">
        <v>0.5</v>
      </c>
      <c r="V7" s="7">
        <f t="shared" si="0"/>
        <v>23</v>
      </c>
      <c r="W7" s="7">
        <v>25</v>
      </c>
      <c r="X7" s="7">
        <v>1</v>
      </c>
      <c r="Y7" s="7">
        <v>20</v>
      </c>
      <c r="Z7" s="7">
        <v>10</v>
      </c>
      <c r="AA7" s="7" t="s">
        <v>15</v>
      </c>
      <c r="AB7" s="7"/>
      <c r="AC7" s="7"/>
      <c r="AD7" s="125" t="s">
        <v>164</v>
      </c>
      <c r="AE7" s="134">
        <v>15</v>
      </c>
      <c r="AF7" s="7">
        <f>(((Q7-R7*2)*1.5)+(Z7+S7)*2)*X7/36</f>
        <v>2.5833333333333335</v>
      </c>
      <c r="AG7" s="7">
        <f>ROUND(X7*35,2)</f>
        <v>35</v>
      </c>
      <c r="AH7" s="7"/>
      <c r="AI7" s="7"/>
      <c r="AJ7" s="76"/>
      <c r="AK7" s="108" t="s">
        <v>35</v>
      </c>
      <c r="AL7" s="7">
        <v>4</v>
      </c>
      <c r="AM7" s="7">
        <v>40</v>
      </c>
      <c r="AN7" s="7">
        <v>7</v>
      </c>
      <c r="AO7" s="7">
        <v>7</v>
      </c>
      <c r="AP7" s="7">
        <v>0</v>
      </c>
      <c r="AQ7" s="7" t="s">
        <v>46</v>
      </c>
      <c r="AR7" s="96" t="s">
        <v>43</v>
      </c>
      <c r="AS7" s="96" t="s">
        <v>43</v>
      </c>
      <c r="AT7" s="7" t="s">
        <v>81</v>
      </c>
      <c r="AU7" s="7"/>
    </row>
    <row r="8" spans="1:47" s="94" customFormat="1" ht="78.75">
      <c r="A8" s="71" t="s">
        <v>82</v>
      </c>
      <c r="B8" s="7" t="s">
        <v>34</v>
      </c>
      <c r="C8" s="7" t="s">
        <v>47</v>
      </c>
      <c r="D8" s="7" t="s">
        <v>35</v>
      </c>
      <c r="E8" s="7" t="s">
        <v>60</v>
      </c>
      <c r="F8" s="7" t="s">
        <v>61</v>
      </c>
      <c r="G8" s="7" t="s">
        <v>48</v>
      </c>
      <c r="H8" s="7" t="s">
        <v>49</v>
      </c>
      <c r="I8" s="7" t="s">
        <v>48</v>
      </c>
      <c r="J8" s="7" t="s">
        <v>49</v>
      </c>
      <c r="K8" s="7" t="s">
        <v>67</v>
      </c>
      <c r="L8" s="7" t="s">
        <v>83</v>
      </c>
      <c r="M8" s="7" t="s">
        <v>35</v>
      </c>
      <c r="N8" s="7" t="s">
        <v>48</v>
      </c>
      <c r="O8" s="7" t="s">
        <v>49</v>
      </c>
      <c r="P8" s="7" t="s">
        <v>80</v>
      </c>
      <c r="Q8" s="7">
        <v>60</v>
      </c>
      <c r="R8" s="7">
        <v>7</v>
      </c>
      <c r="S8" s="5">
        <v>2</v>
      </c>
      <c r="T8" s="5">
        <v>1</v>
      </c>
      <c r="U8" s="5">
        <v>0.5</v>
      </c>
      <c r="V8" s="7">
        <f t="shared" si="0"/>
        <v>23</v>
      </c>
      <c r="W8" s="7">
        <v>25</v>
      </c>
      <c r="X8" s="7">
        <v>1</v>
      </c>
      <c r="Y8" s="7">
        <v>20</v>
      </c>
      <c r="Z8" s="7">
        <v>10</v>
      </c>
      <c r="AA8" s="7" t="s">
        <v>15</v>
      </c>
      <c r="AB8" s="7"/>
      <c r="AC8" s="7"/>
      <c r="AD8" s="125" t="s">
        <v>165</v>
      </c>
      <c r="AE8" s="133">
        <v>120</v>
      </c>
      <c r="AF8" s="7"/>
      <c r="AG8" s="7"/>
      <c r="AH8" s="7"/>
      <c r="AI8" s="7"/>
      <c r="AJ8" s="76"/>
      <c r="AK8" s="108" t="s">
        <v>35</v>
      </c>
      <c r="AL8" s="7">
        <v>4</v>
      </c>
      <c r="AM8" s="7">
        <v>40</v>
      </c>
      <c r="AN8" s="7">
        <v>7</v>
      </c>
      <c r="AO8" s="7">
        <v>7</v>
      </c>
      <c r="AP8" s="7">
        <v>0</v>
      </c>
      <c r="AQ8" s="7" t="s">
        <v>46</v>
      </c>
      <c r="AR8" s="96" t="s">
        <v>43</v>
      </c>
      <c r="AS8" s="96" t="s">
        <v>43</v>
      </c>
      <c r="AT8" s="7" t="s">
        <v>81</v>
      </c>
      <c r="AU8" s="7"/>
    </row>
    <row r="9" spans="1:47" s="94" customFormat="1" ht="78.75">
      <c r="A9" s="71" t="s">
        <v>84</v>
      </c>
      <c r="B9" s="7" t="s">
        <v>34</v>
      </c>
      <c r="C9" s="7" t="s">
        <v>47</v>
      </c>
      <c r="D9" s="7" t="s">
        <v>35</v>
      </c>
      <c r="E9" s="7" t="s">
        <v>60</v>
      </c>
      <c r="F9" s="7" t="s">
        <v>61</v>
      </c>
      <c r="G9" s="7" t="s">
        <v>48</v>
      </c>
      <c r="H9" s="7" t="s">
        <v>49</v>
      </c>
      <c r="I9" s="7" t="s">
        <v>48</v>
      </c>
      <c r="J9" s="7" t="s">
        <v>49</v>
      </c>
      <c r="K9" s="7" t="s">
        <v>40</v>
      </c>
      <c r="L9" s="7"/>
      <c r="M9" s="7" t="s">
        <v>35</v>
      </c>
      <c r="N9" s="7" t="s">
        <v>48</v>
      </c>
      <c r="O9" s="7" t="s">
        <v>49</v>
      </c>
      <c r="P9" s="7" t="s">
        <v>80</v>
      </c>
      <c r="Q9" s="7">
        <v>60</v>
      </c>
      <c r="R9" s="7">
        <v>7</v>
      </c>
      <c r="S9" s="5">
        <v>2</v>
      </c>
      <c r="T9" s="5">
        <v>1</v>
      </c>
      <c r="U9" s="5">
        <v>0.5</v>
      </c>
      <c r="V9" s="7">
        <f t="shared" si="0"/>
        <v>23</v>
      </c>
      <c r="W9" s="7">
        <v>25</v>
      </c>
      <c r="X9" s="7">
        <v>1</v>
      </c>
      <c r="Y9" s="7">
        <v>20</v>
      </c>
      <c r="Z9" s="7">
        <v>10</v>
      </c>
      <c r="AA9" s="7" t="s">
        <v>15</v>
      </c>
      <c r="AB9" s="7">
        <f>((Q9-(AP9*2))*1.5+(Y9*2)+((S9+U9+T9)*2)*X9)/36*2</f>
        <v>7.6111111111111107</v>
      </c>
      <c r="AC9" s="7"/>
      <c r="AD9" s="125" t="s">
        <v>166</v>
      </c>
      <c r="AE9" s="133">
        <v>4</v>
      </c>
      <c r="AF9" s="7">
        <f>(((Q9-R9*2)*1.5)+(Z9+S9)*2)*X9/36</f>
        <v>2.5833333333333335</v>
      </c>
      <c r="AG9" s="7">
        <f t="shared" ref="AG9:AG14" si="1">ROUND(X9*35,2)</f>
        <v>35</v>
      </c>
      <c r="AH9" s="7">
        <f>7.61111111111111*25</f>
        <v>190.27777777777774</v>
      </c>
      <c r="AI9" s="7"/>
      <c r="AJ9" s="76"/>
      <c r="AK9" s="108" t="s">
        <v>35</v>
      </c>
      <c r="AL9" s="7">
        <v>4</v>
      </c>
      <c r="AM9" s="7">
        <v>40</v>
      </c>
      <c r="AN9" s="7">
        <v>7</v>
      </c>
      <c r="AO9" s="7">
        <v>7</v>
      </c>
      <c r="AP9" s="7">
        <v>0</v>
      </c>
      <c r="AQ9" s="7" t="s">
        <v>46</v>
      </c>
      <c r="AR9" s="96"/>
      <c r="AS9" s="96"/>
      <c r="AT9" s="7" t="s">
        <v>81</v>
      </c>
      <c r="AU9" s="7"/>
    </row>
    <row r="10" spans="1:47" s="94" customFormat="1" ht="78.75">
      <c r="A10" s="71" t="s">
        <v>85</v>
      </c>
      <c r="B10" s="7" t="s">
        <v>34</v>
      </c>
      <c r="C10" s="7" t="s">
        <v>47</v>
      </c>
      <c r="D10" s="7" t="s">
        <v>35</v>
      </c>
      <c r="E10" s="7" t="s">
        <v>60</v>
      </c>
      <c r="F10" s="7" t="s">
        <v>61</v>
      </c>
      <c r="G10" s="7" t="s">
        <v>48</v>
      </c>
      <c r="H10" s="7" t="s">
        <v>49</v>
      </c>
      <c r="I10" s="7" t="s">
        <v>48</v>
      </c>
      <c r="J10" s="7" t="s">
        <v>49</v>
      </c>
      <c r="K10" s="7" t="s">
        <v>40</v>
      </c>
      <c r="L10" s="7" t="s">
        <v>85</v>
      </c>
      <c r="M10" s="7" t="s">
        <v>35</v>
      </c>
      <c r="N10" s="7" t="s">
        <v>48</v>
      </c>
      <c r="O10" s="7" t="s">
        <v>49</v>
      </c>
      <c r="P10" s="7" t="s">
        <v>80</v>
      </c>
      <c r="Q10" s="7">
        <v>100</v>
      </c>
      <c r="R10" s="7">
        <v>7</v>
      </c>
      <c r="S10" s="5">
        <v>2</v>
      </c>
      <c r="T10" s="5">
        <v>1</v>
      </c>
      <c r="U10" s="5">
        <v>0.5</v>
      </c>
      <c r="V10" s="7">
        <f t="shared" si="0"/>
        <v>43</v>
      </c>
      <c r="W10" s="7">
        <v>25</v>
      </c>
      <c r="X10" s="7">
        <v>1</v>
      </c>
      <c r="Y10" s="7">
        <v>20</v>
      </c>
      <c r="Z10" s="7">
        <v>10</v>
      </c>
      <c r="AA10" s="7" t="s">
        <v>15</v>
      </c>
      <c r="AB10" s="7">
        <f>((Q10-(AP10*2))*1.5+(Y10*2)+((S10+U10+T10)*2)*X10)/36</f>
        <v>5.2222222222222223</v>
      </c>
      <c r="AC10" s="7">
        <f>((Q10-(AP10*2))*1.5+(Y10*2)+((S10+U10+T10)*2)*X10)/36</f>
        <v>5.2222222222222223</v>
      </c>
      <c r="AD10" s="125" t="s">
        <v>167</v>
      </c>
      <c r="AE10" s="135">
        <v>4</v>
      </c>
      <c r="AF10" s="7">
        <f>(((Q10-R10*2)*1.5)+(Z10+S10)*2)*X10/36</f>
        <v>4.25</v>
      </c>
      <c r="AG10" s="7">
        <f t="shared" si="1"/>
        <v>35</v>
      </c>
      <c r="AH10" s="7">
        <f t="shared" ref="AH10:AI12" si="2">5.22222222222222*25</f>
        <v>130.55555555555549</v>
      </c>
      <c r="AI10" s="7">
        <f t="shared" si="2"/>
        <v>130.55555555555549</v>
      </c>
      <c r="AJ10" s="76">
        <f>5.22222222222222*10</f>
        <v>52.2222222222222</v>
      </c>
      <c r="AK10" s="108" t="s">
        <v>35</v>
      </c>
      <c r="AL10" s="7">
        <v>10</v>
      </c>
      <c r="AM10" s="7">
        <v>96</v>
      </c>
      <c r="AN10" s="7">
        <v>4</v>
      </c>
      <c r="AO10" s="7">
        <v>4</v>
      </c>
      <c r="AP10" s="7">
        <v>3</v>
      </c>
      <c r="AQ10" s="7" t="s">
        <v>46</v>
      </c>
      <c r="AR10" s="96" t="s">
        <v>85</v>
      </c>
      <c r="AS10" s="96" t="s">
        <v>85</v>
      </c>
      <c r="AT10" s="7" t="s">
        <v>81</v>
      </c>
      <c r="AU10" s="7"/>
    </row>
    <row r="11" spans="1:47" s="94" customFormat="1" ht="78.75">
      <c r="A11" s="71" t="s">
        <v>86</v>
      </c>
      <c r="B11" s="7" t="s">
        <v>34</v>
      </c>
      <c r="C11" s="7" t="s">
        <v>47</v>
      </c>
      <c r="D11" s="7" t="s">
        <v>35</v>
      </c>
      <c r="E11" s="7" t="s">
        <v>60</v>
      </c>
      <c r="F11" s="7" t="s">
        <v>61</v>
      </c>
      <c r="G11" s="7" t="s">
        <v>48</v>
      </c>
      <c r="H11" s="7" t="s">
        <v>49</v>
      </c>
      <c r="I11" s="7" t="s">
        <v>48</v>
      </c>
      <c r="J11" s="7" t="s">
        <v>49</v>
      </c>
      <c r="K11" s="7" t="s">
        <v>40</v>
      </c>
      <c r="L11" s="7" t="s">
        <v>86</v>
      </c>
      <c r="M11" s="7" t="s">
        <v>35</v>
      </c>
      <c r="N11" s="7" t="s">
        <v>48</v>
      </c>
      <c r="O11" s="7" t="s">
        <v>49</v>
      </c>
      <c r="P11" s="7" t="s">
        <v>80</v>
      </c>
      <c r="Q11" s="7">
        <v>100</v>
      </c>
      <c r="R11" s="7">
        <v>7</v>
      </c>
      <c r="S11" s="5">
        <v>2</v>
      </c>
      <c r="T11" s="5">
        <v>1</v>
      </c>
      <c r="U11" s="5">
        <v>0.5</v>
      </c>
      <c r="V11" s="7">
        <f t="shared" si="0"/>
        <v>43</v>
      </c>
      <c r="W11" s="7">
        <v>25</v>
      </c>
      <c r="X11" s="7">
        <v>1</v>
      </c>
      <c r="Y11" s="7">
        <v>20</v>
      </c>
      <c r="Z11" s="7">
        <v>10</v>
      </c>
      <c r="AA11" s="7" t="s">
        <v>15</v>
      </c>
      <c r="AB11" s="7">
        <f>((Q11-(AP11*2))*1.5+(Y11*2)+((S11+U11+T11)*2)*X11)/36</f>
        <v>5.2222222222222223</v>
      </c>
      <c r="AC11" s="7">
        <f>((Q11-(AP11*2))*1.5+(Y11*2)+((S11+U11+T11)*2)*X11)/36</f>
        <v>5.2222222222222223</v>
      </c>
      <c r="AD11" s="125" t="s">
        <v>168</v>
      </c>
      <c r="AE11" s="135">
        <v>15</v>
      </c>
      <c r="AF11" s="7">
        <f>(((Q11-R11*2)*1.5)+(Z11+S11)*2)*X11/36</f>
        <v>4.25</v>
      </c>
      <c r="AG11" s="7">
        <f t="shared" si="1"/>
        <v>35</v>
      </c>
      <c r="AH11" s="7">
        <f t="shared" si="2"/>
        <v>130.55555555555549</v>
      </c>
      <c r="AI11" s="7">
        <f t="shared" si="2"/>
        <v>130.55555555555549</v>
      </c>
      <c r="AJ11" s="76">
        <f>5.22222222222222*10</f>
        <v>52.2222222222222</v>
      </c>
      <c r="AK11" s="108" t="s">
        <v>35</v>
      </c>
      <c r="AL11" s="7">
        <v>10</v>
      </c>
      <c r="AM11" s="7">
        <v>40</v>
      </c>
      <c r="AN11" s="7">
        <v>4</v>
      </c>
      <c r="AO11" s="7">
        <v>4</v>
      </c>
      <c r="AP11" s="7">
        <v>3</v>
      </c>
      <c r="AQ11" s="7" t="s">
        <v>46</v>
      </c>
      <c r="AR11" s="96" t="s">
        <v>86</v>
      </c>
      <c r="AS11" s="96" t="s">
        <v>86</v>
      </c>
      <c r="AT11" s="7" t="s">
        <v>81</v>
      </c>
      <c r="AU11" s="7"/>
    </row>
    <row r="12" spans="1:47" s="94" customFormat="1" ht="78.75">
      <c r="A12" s="71" t="s">
        <v>87</v>
      </c>
      <c r="B12" s="7" t="s">
        <v>34</v>
      </c>
      <c r="C12" s="7" t="s">
        <v>47</v>
      </c>
      <c r="D12" s="7" t="s">
        <v>35</v>
      </c>
      <c r="E12" s="7" t="s">
        <v>60</v>
      </c>
      <c r="F12" s="7" t="s">
        <v>61</v>
      </c>
      <c r="G12" s="7" t="s">
        <v>48</v>
      </c>
      <c r="H12" s="7" t="s">
        <v>49</v>
      </c>
      <c r="I12" s="7" t="s">
        <v>48</v>
      </c>
      <c r="J12" s="7" t="s">
        <v>49</v>
      </c>
      <c r="K12" s="7" t="s">
        <v>40</v>
      </c>
      <c r="L12" s="7" t="s">
        <v>87</v>
      </c>
      <c r="M12" s="7" t="s">
        <v>35</v>
      </c>
      <c r="N12" s="7" t="s">
        <v>48</v>
      </c>
      <c r="O12" s="7" t="s">
        <v>49</v>
      </c>
      <c r="P12" s="7" t="s">
        <v>80</v>
      </c>
      <c r="Q12" s="7">
        <v>100</v>
      </c>
      <c r="R12" s="7">
        <v>7</v>
      </c>
      <c r="S12" s="5">
        <v>2</v>
      </c>
      <c r="T12" s="5">
        <v>1</v>
      </c>
      <c r="U12" s="5">
        <v>0.5</v>
      </c>
      <c r="V12" s="7">
        <f t="shared" si="0"/>
        <v>43</v>
      </c>
      <c r="W12" s="7">
        <v>25</v>
      </c>
      <c r="X12" s="7">
        <v>1</v>
      </c>
      <c r="Y12" s="7">
        <v>20</v>
      </c>
      <c r="Z12" s="7">
        <v>10</v>
      </c>
      <c r="AA12" s="7" t="s">
        <v>15</v>
      </c>
      <c r="AB12" s="7">
        <f>((Q12-(AP12*2))*1.5+(Y12*2)+((S12+U12+T12)*2)*X12)/36</f>
        <v>5.2222222222222223</v>
      </c>
      <c r="AC12" s="7">
        <f>((Q12-(AP12*2))*1.5+(Y12*2)+((S12+U12+T12)*2)*X12)/36</f>
        <v>5.2222222222222223</v>
      </c>
      <c r="AD12" s="125" t="s">
        <v>169</v>
      </c>
      <c r="AE12" s="135">
        <f>AE11-AE9</f>
        <v>11</v>
      </c>
      <c r="AF12" s="7">
        <f>(((Q12-R12*2)*1.5)+(Z12+S12)*2)*X12/36</f>
        <v>4.25</v>
      </c>
      <c r="AG12" s="7">
        <f t="shared" si="1"/>
        <v>35</v>
      </c>
      <c r="AH12" s="7">
        <f t="shared" si="2"/>
        <v>130.55555555555549</v>
      </c>
      <c r="AI12" s="7">
        <f t="shared" si="2"/>
        <v>130.55555555555549</v>
      </c>
      <c r="AJ12" s="76">
        <f>5.22222222222222*10</f>
        <v>52.2222222222222</v>
      </c>
      <c r="AK12" s="108" t="s">
        <v>35</v>
      </c>
      <c r="AL12" s="7">
        <v>10</v>
      </c>
      <c r="AM12" s="7">
        <v>40</v>
      </c>
      <c r="AN12" s="7">
        <v>4</v>
      </c>
      <c r="AO12" s="7">
        <v>4</v>
      </c>
      <c r="AP12" s="7">
        <v>3</v>
      </c>
      <c r="AQ12" s="7" t="s">
        <v>46</v>
      </c>
      <c r="AR12" s="96" t="s">
        <v>87</v>
      </c>
      <c r="AS12" s="96" t="s">
        <v>87</v>
      </c>
      <c r="AT12" s="7" t="s">
        <v>81</v>
      </c>
      <c r="AU12" s="7"/>
    </row>
    <row r="13" spans="1:47" s="94" customFormat="1" ht="33.75">
      <c r="A13" s="71" t="s">
        <v>88</v>
      </c>
      <c r="B13" s="7" t="s">
        <v>34</v>
      </c>
      <c r="C13" s="7" t="s">
        <v>47</v>
      </c>
      <c r="D13" s="7" t="s">
        <v>43</v>
      </c>
      <c r="E13" s="7"/>
      <c r="F13" s="7"/>
      <c r="G13" s="7" t="s">
        <v>48</v>
      </c>
      <c r="H13" s="7" t="s">
        <v>49</v>
      </c>
      <c r="I13" s="7"/>
      <c r="J13" s="7"/>
      <c r="K13" s="7" t="s">
        <v>40</v>
      </c>
      <c r="L13" s="7"/>
      <c r="M13" s="7" t="s">
        <v>43</v>
      </c>
      <c r="N13" s="7"/>
      <c r="O13" s="7"/>
      <c r="P13" s="7" t="s">
        <v>80</v>
      </c>
      <c r="Q13" s="7">
        <v>60</v>
      </c>
      <c r="R13" s="7">
        <v>7</v>
      </c>
      <c r="S13" s="5">
        <v>2</v>
      </c>
      <c r="T13" s="5">
        <v>1</v>
      </c>
      <c r="U13" s="5">
        <v>0.5</v>
      </c>
      <c r="V13" s="7">
        <f t="shared" si="0"/>
        <v>23</v>
      </c>
      <c r="W13" s="7">
        <v>25</v>
      </c>
      <c r="X13" s="7">
        <v>1</v>
      </c>
      <c r="Y13" s="7">
        <v>20</v>
      </c>
      <c r="Z13" s="7">
        <v>10</v>
      </c>
      <c r="AA13" s="7" t="s">
        <v>15</v>
      </c>
      <c r="AB13" s="7">
        <f>ROUND(((Q13-(AP13*2))*1.5+(Y13*2)+((S13+U13+T13)*2)*X13)/36*2,4)</f>
        <v>7.6111000000000004</v>
      </c>
      <c r="AC13" s="7"/>
      <c r="AD13" s="124" t="s">
        <v>170</v>
      </c>
      <c r="AE13" s="133">
        <v>1.5</v>
      </c>
      <c r="AF13" s="7"/>
      <c r="AG13" s="7">
        <f t="shared" si="1"/>
        <v>35</v>
      </c>
      <c r="AH13" s="7">
        <f>7.6111*25</f>
        <v>190.2775</v>
      </c>
      <c r="AI13" s="7"/>
      <c r="AJ13" s="76"/>
      <c r="AK13" s="108" t="s">
        <v>35</v>
      </c>
      <c r="AL13" s="7">
        <v>4</v>
      </c>
      <c r="AM13" s="7">
        <v>40</v>
      </c>
      <c r="AN13" s="7">
        <v>7</v>
      </c>
      <c r="AO13" s="7">
        <v>7</v>
      </c>
      <c r="AP13" s="7">
        <v>0</v>
      </c>
      <c r="AQ13" s="7" t="s">
        <v>46</v>
      </c>
      <c r="AR13" s="96"/>
      <c r="AS13" s="96"/>
      <c r="AT13" s="7" t="s">
        <v>81</v>
      </c>
      <c r="AU13" s="7"/>
    </row>
    <row r="14" spans="1:47" s="94" customFormat="1" ht="27" customHeight="1">
      <c r="A14" s="71" t="s">
        <v>136</v>
      </c>
      <c r="B14" s="7" t="s">
        <v>137</v>
      </c>
      <c r="C14" s="7" t="s">
        <v>47</v>
      </c>
      <c r="D14" s="7" t="s">
        <v>43</v>
      </c>
      <c r="E14" s="7"/>
      <c r="F14" s="7"/>
      <c r="G14" s="7" t="s">
        <v>48</v>
      </c>
      <c r="H14" s="7" t="s">
        <v>49</v>
      </c>
      <c r="I14" s="7"/>
      <c r="J14" s="7"/>
      <c r="K14" s="7" t="s">
        <v>40</v>
      </c>
      <c r="L14" s="7"/>
      <c r="M14" s="7" t="s">
        <v>43</v>
      </c>
      <c r="N14" s="7"/>
      <c r="O14" s="7"/>
      <c r="P14" s="7" t="s">
        <v>80</v>
      </c>
      <c r="Q14" s="7">
        <v>80</v>
      </c>
      <c r="R14" s="7">
        <v>7</v>
      </c>
      <c r="S14" s="5">
        <v>2</v>
      </c>
      <c r="T14" s="5">
        <v>1</v>
      </c>
      <c r="U14" s="5">
        <v>0.5</v>
      </c>
      <c r="V14" s="7">
        <f t="shared" si="0"/>
        <v>33</v>
      </c>
      <c r="W14" s="7"/>
      <c r="X14" s="7"/>
      <c r="Y14" s="7"/>
      <c r="Z14" s="7"/>
      <c r="AA14" s="7" t="s">
        <v>15</v>
      </c>
      <c r="AB14" s="7"/>
      <c r="AC14" s="7"/>
      <c r="AD14" s="124" t="s">
        <v>171</v>
      </c>
      <c r="AE14" s="133">
        <v>25</v>
      </c>
      <c r="AF14" s="7"/>
      <c r="AG14" s="7">
        <f t="shared" si="1"/>
        <v>0</v>
      </c>
      <c r="AH14" s="7"/>
      <c r="AI14" s="7"/>
      <c r="AJ14" s="76"/>
      <c r="AK14" s="108" t="s">
        <v>35</v>
      </c>
      <c r="AL14" s="7">
        <v>10</v>
      </c>
      <c r="AM14" s="7">
        <v>100</v>
      </c>
      <c r="AN14" s="7">
        <v>4</v>
      </c>
      <c r="AO14" s="7">
        <v>4</v>
      </c>
      <c r="AP14" s="7">
        <v>3</v>
      </c>
      <c r="AQ14" s="7" t="s">
        <v>138</v>
      </c>
      <c r="AR14" s="96"/>
      <c r="AS14" s="96"/>
      <c r="AT14" s="7" t="s">
        <v>81</v>
      </c>
      <c r="AU14" s="7"/>
    </row>
    <row r="15" spans="1:47" s="94" customFormat="1" ht="16.5">
      <c r="A15" s="7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115"/>
      <c r="R15" s="115"/>
      <c r="S15" s="116"/>
      <c r="T15" s="116"/>
      <c r="U15" s="116"/>
      <c r="V15" s="115"/>
      <c r="W15" s="115"/>
      <c r="X15" s="115"/>
      <c r="Y15" s="115"/>
      <c r="Z15" s="115"/>
      <c r="AA15" s="7"/>
      <c r="AB15" s="7"/>
      <c r="AC15" s="7"/>
      <c r="AD15" s="126" t="s">
        <v>172</v>
      </c>
      <c r="AE15" s="136">
        <v>30</v>
      </c>
      <c r="AF15" s="7"/>
      <c r="AG15" s="7"/>
      <c r="AH15" s="7"/>
      <c r="AI15" s="7"/>
      <c r="AJ15" s="76"/>
      <c r="AK15" s="108"/>
      <c r="AL15" s="7"/>
      <c r="AM15" s="7"/>
      <c r="AN15" s="7"/>
      <c r="AO15" s="7"/>
      <c r="AP15" s="7"/>
      <c r="AQ15" s="7"/>
      <c r="AR15" s="100"/>
      <c r="AS15" s="100"/>
      <c r="AT15" s="7"/>
      <c r="AU15" s="7"/>
    </row>
    <row r="16" spans="1:47" s="94" customFormat="1" ht="16.5">
      <c r="A16" s="71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115"/>
      <c r="R16" s="115"/>
      <c r="S16" s="116"/>
      <c r="T16" s="116"/>
      <c r="U16" s="116"/>
      <c r="V16" s="115"/>
      <c r="W16" s="115"/>
      <c r="X16" s="115"/>
      <c r="Y16" s="115"/>
      <c r="Z16" s="115"/>
      <c r="AA16" s="7"/>
      <c r="AB16" s="7"/>
      <c r="AC16" s="7"/>
      <c r="AD16" s="126" t="s">
        <v>173</v>
      </c>
      <c r="AE16" s="136">
        <v>15</v>
      </c>
      <c r="AF16" s="95"/>
      <c r="AG16" s="7"/>
      <c r="AH16" s="7"/>
      <c r="AI16" s="7"/>
      <c r="AJ16" s="76"/>
      <c r="AK16" s="108"/>
      <c r="AL16" s="7"/>
      <c r="AM16" s="7"/>
      <c r="AN16" s="7"/>
      <c r="AO16" s="7"/>
      <c r="AP16" s="7"/>
      <c r="AQ16" s="7"/>
      <c r="AR16" s="100"/>
      <c r="AS16" s="100"/>
      <c r="AT16" s="7"/>
      <c r="AU16" s="7"/>
    </row>
    <row r="17" spans="1:47" s="94" customFormat="1" ht="16.5">
      <c r="A17" s="71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115"/>
      <c r="R17" s="115"/>
      <c r="S17" s="116"/>
      <c r="T17" s="116"/>
      <c r="U17" s="116"/>
      <c r="V17" s="115"/>
      <c r="W17" s="115"/>
      <c r="X17" s="115"/>
      <c r="Y17" s="115"/>
      <c r="Z17" s="115"/>
      <c r="AA17" s="7"/>
      <c r="AB17" s="7"/>
      <c r="AC17" s="7"/>
      <c r="AD17" s="126" t="s">
        <v>174</v>
      </c>
      <c r="AE17" s="136">
        <v>0.5</v>
      </c>
      <c r="AF17" s="7"/>
      <c r="AG17" s="7"/>
      <c r="AH17" s="7"/>
      <c r="AI17" s="7"/>
      <c r="AJ17" s="76"/>
      <c r="AK17" s="108"/>
      <c r="AL17" s="7"/>
      <c r="AM17" s="7"/>
      <c r="AN17" s="7"/>
      <c r="AO17" s="7"/>
      <c r="AP17" s="7"/>
      <c r="AQ17" s="7"/>
      <c r="AR17" s="100"/>
      <c r="AS17" s="100"/>
      <c r="AT17" s="7"/>
      <c r="AU17" s="7"/>
    </row>
    <row r="18" spans="1:47" s="94" customFormat="1" ht="16.5">
      <c r="A18" s="71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115"/>
      <c r="R18" s="115"/>
      <c r="S18" s="116"/>
      <c r="T18" s="116"/>
      <c r="U18" s="116"/>
      <c r="V18" s="115"/>
      <c r="W18" s="115"/>
      <c r="X18" s="115"/>
      <c r="Y18" s="115"/>
      <c r="Z18" s="115"/>
      <c r="AA18" s="7"/>
      <c r="AB18" s="7"/>
      <c r="AC18" s="7"/>
      <c r="AD18" s="126" t="s">
        <v>175</v>
      </c>
      <c r="AE18" s="136">
        <v>2</v>
      </c>
      <c r="AF18" s="7"/>
      <c r="AG18" s="7"/>
      <c r="AH18" s="7"/>
      <c r="AI18" s="7"/>
      <c r="AJ18" s="76"/>
      <c r="AK18" s="108"/>
      <c r="AL18" s="7"/>
      <c r="AM18" s="7"/>
      <c r="AN18" s="7"/>
      <c r="AO18" s="7"/>
      <c r="AP18" s="7"/>
      <c r="AQ18" s="7"/>
      <c r="AR18" s="100"/>
      <c r="AS18" s="100"/>
      <c r="AT18" s="7"/>
      <c r="AU18" s="7"/>
    </row>
    <row r="19" spans="1:47" s="94" customFormat="1" ht="16.5">
      <c r="A19" s="71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15"/>
      <c r="R19" s="115"/>
      <c r="S19" s="116"/>
      <c r="T19" s="116"/>
      <c r="U19" s="116"/>
      <c r="V19" s="115"/>
      <c r="W19" s="115"/>
      <c r="X19" s="115"/>
      <c r="Y19" s="115"/>
      <c r="Z19" s="115"/>
      <c r="AA19" s="7"/>
      <c r="AB19" s="7"/>
      <c r="AC19" s="7"/>
      <c r="AD19" s="126" t="s">
        <v>176</v>
      </c>
      <c r="AE19" s="136">
        <v>1</v>
      </c>
      <c r="AF19" s="7"/>
      <c r="AG19" s="7"/>
      <c r="AH19" s="7"/>
      <c r="AI19" s="7"/>
      <c r="AJ19" s="76"/>
      <c r="AK19" s="108"/>
      <c r="AL19" s="7"/>
      <c r="AM19" s="7"/>
      <c r="AN19" s="7"/>
      <c r="AO19" s="7"/>
      <c r="AP19" s="7"/>
      <c r="AQ19" s="7"/>
      <c r="AR19" s="100"/>
      <c r="AS19" s="100"/>
      <c r="AT19" s="7"/>
      <c r="AU19" s="7"/>
    </row>
    <row r="20" spans="1:47" s="94" customFormat="1" ht="22.5">
      <c r="A20" s="101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117"/>
      <c r="R20" s="117"/>
      <c r="S20" s="118"/>
      <c r="T20" s="118"/>
      <c r="U20" s="118"/>
      <c r="V20" s="117"/>
      <c r="W20" s="117"/>
      <c r="X20" s="117"/>
      <c r="Y20" s="117"/>
      <c r="Z20" s="117"/>
      <c r="AA20" s="96"/>
      <c r="AB20" s="97"/>
      <c r="AC20" s="97"/>
      <c r="AD20" s="127" t="s">
        <v>177</v>
      </c>
      <c r="AE20" s="137">
        <f>((AE6-AE12*2)*AE13+(AE15+AE16*4)+(AE17+AE18*2)*AE19)/36</f>
        <v>5.875</v>
      </c>
      <c r="AF20" s="96"/>
      <c r="AG20" s="82"/>
      <c r="AH20" s="7"/>
      <c r="AI20" s="7"/>
      <c r="AJ20" s="76"/>
      <c r="AK20" s="108"/>
      <c r="AL20" s="96"/>
      <c r="AM20" s="96"/>
      <c r="AN20" s="96"/>
      <c r="AO20" s="96"/>
      <c r="AP20" s="96"/>
      <c r="AQ20" s="96"/>
      <c r="AR20" s="100"/>
      <c r="AS20" s="100"/>
      <c r="AT20" s="96"/>
      <c r="AU20" s="96"/>
    </row>
    <row r="21" spans="1:47" s="94" customFormat="1" ht="23.25" thickBot="1">
      <c r="A21" s="102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119"/>
      <c r="R21" s="119"/>
      <c r="S21" s="120"/>
      <c r="T21" s="120"/>
      <c r="U21" s="120"/>
      <c r="V21" s="119"/>
      <c r="W21" s="119"/>
      <c r="X21" s="119"/>
      <c r="Y21" s="119"/>
      <c r="Z21" s="119"/>
      <c r="AA21" s="98"/>
      <c r="AB21" s="98"/>
      <c r="AC21" s="98"/>
      <c r="AD21" s="128" t="s">
        <v>178</v>
      </c>
      <c r="AE21" s="137">
        <f>((AE6-AE12*2)*AE13+(AE15+AE16*4)+(AE17+AE18*2)*AE19)/36</f>
        <v>5.875</v>
      </c>
      <c r="AF21" s="99"/>
      <c r="AG21" s="79"/>
      <c r="AH21" s="79"/>
      <c r="AI21" s="79"/>
      <c r="AJ21" s="80"/>
      <c r="AK21" s="109"/>
      <c r="AL21" s="98"/>
      <c r="AM21" s="98"/>
      <c r="AN21" s="98"/>
      <c r="AO21" s="98"/>
      <c r="AP21" s="98"/>
      <c r="AQ21" s="98"/>
      <c r="AR21" s="103"/>
      <c r="AS21" s="103"/>
      <c r="AT21" s="98"/>
      <c r="AU21" s="98"/>
    </row>
  </sheetData>
  <mergeCells count="11">
    <mergeCell ref="AD3:AE3"/>
    <mergeCell ref="M1:P1"/>
    <mergeCell ref="M2:P2"/>
    <mergeCell ref="A1:D1"/>
    <mergeCell ref="A2:D2"/>
    <mergeCell ref="E1:G1"/>
    <mergeCell ref="E2:G2"/>
    <mergeCell ref="Q1:U1"/>
    <mergeCell ref="Q2:U2"/>
    <mergeCell ref="H1:L1"/>
    <mergeCell ref="H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22</xdr:col>
                    <xdr:colOff>66675</xdr:colOff>
                    <xdr:row>0</xdr:row>
                    <xdr:rowOff>104775</xdr:rowOff>
                  </from>
                  <to>
                    <xdr:col>26</xdr:col>
                    <xdr:colOff>142875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Small</vt:lpstr>
      <vt:lpstr>Medium</vt:lpstr>
      <vt:lpstr>Large</vt:lpstr>
      <vt:lpstr>Form Resources</vt:lpstr>
      <vt:lpstr>Charts</vt:lpstr>
      <vt:lpstr>Corrections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pro</cp:lastModifiedBy>
  <dcterms:created xsi:type="dcterms:W3CDTF">2016-04-12T00:20:43Z</dcterms:created>
  <dcterms:modified xsi:type="dcterms:W3CDTF">2016-04-18T07:01:23Z</dcterms:modified>
</cp:coreProperties>
</file>